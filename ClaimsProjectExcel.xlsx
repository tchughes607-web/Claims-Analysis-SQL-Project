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chug\OneDrive\Desktop\"/>
    </mc:Choice>
  </mc:AlternateContent>
  <bookViews>
    <workbookView xWindow="0" yWindow="0" windowWidth="28800" windowHeight="12330"/>
  </bookViews>
  <sheets>
    <sheet name="Claims by Month" sheetId="3" r:id="rId1"/>
    <sheet name="Claims by City" sheetId="4" r:id="rId2"/>
    <sheet name="Claims by Type" sheetId="5" r:id="rId3"/>
    <sheet name="Claims by Status" sheetId="6" r:id="rId4"/>
    <sheet name="Claim Count by Age Group" sheetId="7" r:id="rId5"/>
    <sheet name="ClaimsData - Clean" sheetId="2" r:id="rId6"/>
    <sheet name="Sheet1" sheetId="1" r:id="rId7"/>
  </sheets>
  <definedNames>
    <definedName name="_xlnm._FilterDatabase" localSheetId="5" hidden="1">'ClaimsData - Clean'!$E$1:$E$202</definedName>
    <definedName name="_xlnm._FilterDatabase" localSheetId="6" hidden="1">Sheet1!$F$1:$F$202</definedName>
    <definedName name="claims_raw" localSheetId="5">'ClaimsData - Clean'!$A$1:$L$200</definedName>
    <definedName name="claims_raw" localSheetId="6">Sheet1!$A$1:$K$202</definedName>
  </definedNames>
  <calcPr calcId="162913"/>
  <pivotCaches>
    <pivotCache cacheId="2" r:id="rId8"/>
    <pivotCache cacheId="14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" i="2"/>
</calcChain>
</file>

<file path=xl/connections.xml><?xml version="1.0" encoding="utf-8"?>
<connections xmlns="http://schemas.openxmlformats.org/spreadsheetml/2006/main">
  <connection id="1" name="claims_raw" type="6" refreshedVersion="6" background="1" saveData="1">
    <textPr sourceFile="C:\Users\tchug\OneDrive\Desktop\claims_raw.csv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</textFields>
    </textPr>
  </connection>
  <connection id="2" name="claims_raw1" type="6" refreshedVersion="6" background="1" saveData="1">
    <textPr sourceFile="C:\Users\tchug\OneDrive\Desktop\claims_raw.csv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<sst xmlns="http://schemas.openxmlformats.org/spreadsheetml/2006/main" count="3312" uniqueCount="791">
  <si>
    <t>claim_id</t>
  </si>
  <si>
    <t>customer_id</t>
  </si>
  <si>
    <t>customer_name</t>
  </si>
  <si>
    <t>age</t>
  </si>
  <si>
    <t>gender</t>
  </si>
  <si>
    <t>claim_date</t>
  </si>
  <si>
    <t>claim_type</t>
  </si>
  <si>
    <t>claim_amount</t>
  </si>
  <si>
    <t>city</t>
  </si>
  <si>
    <t>status</t>
  </si>
  <si>
    <t>CLM-001</t>
  </si>
  <si>
    <t>1001</t>
  </si>
  <si>
    <t>John Smith</t>
  </si>
  <si>
    <t>34</t>
  </si>
  <si>
    <t>M</t>
  </si>
  <si>
    <t>London</t>
  </si>
  <si>
    <t>John  Smith</t>
  </si>
  <si>
    <t>1200</t>
  </si>
  <si>
    <t>CLM-002</t>
  </si>
  <si>
    <t>1002</t>
  </si>
  <si>
    <t>Sarah Jones</t>
  </si>
  <si>
    <t>29</t>
  </si>
  <si>
    <t>F</t>
  </si>
  <si>
    <t>800.5</t>
  </si>
  <si>
    <t>Cardiff</t>
  </si>
  <si>
    <t>CLM-003</t>
  </si>
  <si>
    <t>1003</t>
  </si>
  <si>
    <t>Michael Brown</t>
  </si>
  <si>
    <t>45</t>
  </si>
  <si>
    <t>CLM-004</t>
  </si>
  <si>
    <t>1004</t>
  </si>
  <si>
    <t>Emily Davis</t>
  </si>
  <si>
    <t>Pet</t>
  </si>
  <si>
    <t>300.00</t>
  </si>
  <si>
    <t>Belfast</t>
  </si>
  <si>
    <t>CLM-005</t>
  </si>
  <si>
    <t>1005</t>
  </si>
  <si>
    <t>Chris O'Neil</t>
  </si>
  <si>
    <t>52</t>
  </si>
  <si>
    <t>CLM-006</t>
  </si>
  <si>
    <t>1006</t>
  </si>
  <si>
    <t>Amy   Wilson</t>
  </si>
  <si>
    <t>120</t>
  </si>
  <si>
    <t>Dublin</t>
  </si>
  <si>
    <t>CLM-007</t>
  </si>
  <si>
    <t>1007</t>
  </si>
  <si>
    <t>Robert Lee</t>
  </si>
  <si>
    <t>5</t>
  </si>
  <si>
    <t>08/15/22</t>
  </si>
  <si>
    <t>2500</t>
  </si>
  <si>
    <t>CLM-008</t>
  </si>
  <si>
    <t>1008</t>
  </si>
  <si>
    <t>Jessica Taylor</t>
  </si>
  <si>
    <t>38</t>
  </si>
  <si>
    <t>1000.00</t>
  </si>
  <si>
    <t>Edinburgh</t>
  </si>
  <si>
    <t>CLM-009</t>
  </si>
  <si>
    <t>1009</t>
  </si>
  <si>
    <t>Tom Harris</t>
  </si>
  <si>
    <t>41</t>
  </si>
  <si>
    <t>CLM-010</t>
  </si>
  <si>
    <t>1010</t>
  </si>
  <si>
    <t>Anna White</t>
  </si>
  <si>
    <t>33</t>
  </si>
  <si>
    <t>900.00</t>
  </si>
  <si>
    <t>CLM-011</t>
  </si>
  <si>
    <t>1011</t>
  </si>
  <si>
    <t>David King</t>
  </si>
  <si>
    <t>47</t>
  </si>
  <si>
    <t>CLM-012</t>
  </si>
  <si>
    <t>1012</t>
  </si>
  <si>
    <t>Laura Green</t>
  </si>
  <si>
    <t>28</t>
  </si>
  <si>
    <t>700.00</t>
  </si>
  <si>
    <t>CLM-013</t>
  </si>
  <si>
    <t>1013</t>
  </si>
  <si>
    <t>Peter Parker</t>
  </si>
  <si>
    <t>36</t>
  </si>
  <si>
    <t>700</t>
  </si>
  <si>
    <t>31</t>
  </si>
  <si>
    <t>CLM-015</t>
  </si>
  <si>
    <t>1015</t>
  </si>
  <si>
    <t>Daniel Craig</t>
  </si>
  <si>
    <t>55</t>
  </si>
  <si>
    <t>450</t>
  </si>
  <si>
    <t>CLM-016</t>
  </si>
  <si>
    <t>1016</t>
  </si>
  <si>
    <t>Lucy Hale</t>
  </si>
  <si>
    <t>27</t>
  </si>
  <si>
    <t>2000.00</t>
  </si>
  <si>
    <t>CLM-017</t>
  </si>
  <si>
    <t>1017</t>
  </si>
  <si>
    <t>Mark Wood</t>
  </si>
  <si>
    <t>39</t>
  </si>
  <si>
    <t>CLM-018</t>
  </si>
  <si>
    <t>1018</t>
  </si>
  <si>
    <t>Karen Black</t>
  </si>
  <si>
    <t>44</t>
  </si>
  <si>
    <t>1500.00</t>
  </si>
  <si>
    <t>CLM-019</t>
  </si>
  <si>
    <t>1019</t>
  </si>
  <si>
    <t>Sam Carter</t>
  </si>
  <si>
    <t>48</t>
  </si>
  <si>
    <t>CLM-020</t>
  </si>
  <si>
    <t>1020</t>
  </si>
  <si>
    <t>Olivia Stone</t>
  </si>
  <si>
    <t>32</t>
  </si>
  <si>
    <t>CLM-021</t>
  </si>
  <si>
    <t>1021</t>
  </si>
  <si>
    <t>Liam Turner</t>
  </si>
  <si>
    <t>37</t>
  </si>
  <si>
    <t>CLM-022</t>
  </si>
  <si>
    <t>1022</t>
  </si>
  <si>
    <t>Sophie Adams</t>
  </si>
  <si>
    <t>26</t>
  </si>
  <si>
    <t>1300</t>
  </si>
  <si>
    <t>CLM-023</t>
  </si>
  <si>
    <t>1023</t>
  </si>
  <si>
    <t>George Hill</t>
  </si>
  <si>
    <t>42</t>
  </si>
  <si>
    <t>CLM-024</t>
  </si>
  <si>
    <t>1024</t>
  </si>
  <si>
    <t>Natalie Cook</t>
  </si>
  <si>
    <t>CLM-025</t>
  </si>
  <si>
    <t>1025</t>
  </si>
  <si>
    <t>Harry Scott</t>
  </si>
  <si>
    <t>50</t>
  </si>
  <si>
    <t>250.00</t>
  </si>
  <si>
    <t>CLM-026</t>
  </si>
  <si>
    <t>1026</t>
  </si>
  <si>
    <t>Chloe Price</t>
  </si>
  <si>
    <t>CLM-027</t>
  </si>
  <si>
    <t>1027</t>
  </si>
  <si>
    <t>Jack Morris</t>
  </si>
  <si>
    <t>1800.00</t>
  </si>
  <si>
    <t>CLM-028</t>
  </si>
  <si>
    <t>1028</t>
  </si>
  <si>
    <t>Emma Carter</t>
  </si>
  <si>
    <t>CLM-029</t>
  </si>
  <si>
    <t>1029</t>
  </si>
  <si>
    <t>Noah Bennett</t>
  </si>
  <si>
    <t>1600.00</t>
  </si>
  <si>
    <t>CLM-030</t>
  </si>
  <si>
    <t>1030</t>
  </si>
  <si>
    <t>Ava Mitchell</t>
  </si>
  <si>
    <t>CLM-031</t>
  </si>
  <si>
    <t>1031</t>
  </si>
  <si>
    <t>Oliver Reed</t>
  </si>
  <si>
    <t>850.00</t>
  </si>
  <si>
    <t>CLM-032</t>
  </si>
  <si>
    <t>1032</t>
  </si>
  <si>
    <t>Mia Foster</t>
  </si>
  <si>
    <t>CLM-033</t>
  </si>
  <si>
    <t>1033</t>
  </si>
  <si>
    <t>Lucas Gray</t>
  </si>
  <si>
    <t>780.00</t>
  </si>
  <si>
    <t>CLM-034</t>
  </si>
  <si>
    <t>1034</t>
  </si>
  <si>
    <t>Grace Kelly</t>
  </si>
  <si>
    <t>780</t>
  </si>
  <si>
    <t>CLM-035</t>
  </si>
  <si>
    <t>1035</t>
  </si>
  <si>
    <t>Ethan Ward</t>
  </si>
  <si>
    <t>500.00</t>
  </si>
  <si>
    <t>CLM-036</t>
  </si>
  <si>
    <t>1036</t>
  </si>
  <si>
    <t>Lily Howard</t>
  </si>
  <si>
    <t>CLM-037</t>
  </si>
  <si>
    <t>1037</t>
  </si>
  <si>
    <t>Jacob Evans</t>
  </si>
  <si>
    <t>2100.00</t>
  </si>
  <si>
    <t>CLM-038</t>
  </si>
  <si>
    <t>1038</t>
  </si>
  <si>
    <t>Isabella Young</t>
  </si>
  <si>
    <t>CLM-039</t>
  </si>
  <si>
    <t>1039</t>
  </si>
  <si>
    <t>William Brooks</t>
  </si>
  <si>
    <t>49</t>
  </si>
  <si>
    <t>1400.00</t>
  </si>
  <si>
    <t>CLM-040</t>
  </si>
  <si>
    <t>1040</t>
  </si>
  <si>
    <t>Emily Ward</t>
  </si>
  <si>
    <t>46</t>
  </si>
  <si>
    <t>CLM-041</t>
  </si>
  <si>
    <t>1041</t>
  </si>
  <si>
    <t>James Nolan</t>
  </si>
  <si>
    <t>CLM-042</t>
  </si>
  <si>
    <t>1042</t>
  </si>
  <si>
    <t>Hannah Doyle</t>
  </si>
  <si>
    <t>35</t>
  </si>
  <si>
    <t>1250</t>
  </si>
  <si>
    <t>CLM-043</t>
  </si>
  <si>
    <t>1043</t>
  </si>
  <si>
    <t>Patrick Byrne</t>
  </si>
  <si>
    <t>880.00</t>
  </si>
  <si>
    <t>CLM-044</t>
  </si>
  <si>
    <t>1044</t>
  </si>
  <si>
    <t>Rebecca Shaw</t>
  </si>
  <si>
    <t>CLM-045</t>
  </si>
  <si>
    <t>1045</t>
  </si>
  <si>
    <t>Declan Reid</t>
  </si>
  <si>
    <t>51</t>
  </si>
  <si>
    <t>275.00</t>
  </si>
  <si>
    <t>CLM-046</t>
  </si>
  <si>
    <t>1046</t>
  </si>
  <si>
    <t>Amber Flynn</t>
  </si>
  <si>
    <t>CLM-047</t>
  </si>
  <si>
    <t>1047</t>
  </si>
  <si>
    <t>Shane Murphy</t>
  </si>
  <si>
    <t>1950.00</t>
  </si>
  <si>
    <t>CLM-048</t>
  </si>
  <si>
    <t>1048</t>
  </si>
  <si>
    <t>Paige Turner</t>
  </si>
  <si>
    <t>CLM-049</t>
  </si>
  <si>
    <t>1049</t>
  </si>
  <si>
    <t>Connor Walsh</t>
  </si>
  <si>
    <t>1700.00</t>
  </si>
  <si>
    <t>CLM-050</t>
  </si>
  <si>
    <t>1050</t>
  </si>
  <si>
    <t>Julia Burns</t>
  </si>
  <si>
    <t>43</t>
  </si>
  <si>
    <t>CLM-051</t>
  </si>
  <si>
    <t>1051</t>
  </si>
  <si>
    <t>Adam Clarke</t>
  </si>
  <si>
    <t>820.00</t>
  </si>
  <si>
    <t>CLM-052</t>
  </si>
  <si>
    <t>1052</t>
  </si>
  <si>
    <t>Chloe Martin</t>
  </si>
  <si>
    <t>CLM-053</t>
  </si>
  <si>
    <t>1053</t>
  </si>
  <si>
    <t>Jason Kelly</t>
  </si>
  <si>
    <t>53</t>
  </si>
  <si>
    <t>760.00</t>
  </si>
  <si>
    <t>CLM-054</t>
  </si>
  <si>
    <t>1054</t>
  </si>
  <si>
    <t>Freya Hughes</t>
  </si>
  <si>
    <t>760</t>
  </si>
  <si>
    <t>CLM-055</t>
  </si>
  <si>
    <t>1055</t>
  </si>
  <si>
    <t>Callum Price</t>
  </si>
  <si>
    <t>480.00</t>
  </si>
  <si>
    <t>CLM-056</t>
  </si>
  <si>
    <t>1056</t>
  </si>
  <si>
    <t>Isla Cooper</t>
  </si>
  <si>
    <t>30</t>
  </si>
  <si>
    <t>CLM-057</t>
  </si>
  <si>
    <t>1057</t>
  </si>
  <si>
    <t>Leo Barker</t>
  </si>
  <si>
    <t>2200.00</t>
  </si>
  <si>
    <t>CLM-058</t>
  </si>
  <si>
    <t>1058</t>
  </si>
  <si>
    <t>Harriet Owen</t>
  </si>
  <si>
    <t>25</t>
  </si>
  <si>
    <t>CLM-059</t>
  </si>
  <si>
    <t>1059</t>
  </si>
  <si>
    <t>Ryan Fraser</t>
  </si>
  <si>
    <t>1550.00</t>
  </si>
  <si>
    <t>CLM-060</t>
  </si>
  <si>
    <t>1060</t>
  </si>
  <si>
    <t>Sienna Boyd</t>
  </si>
  <si>
    <t>CLM-061</t>
  </si>
  <si>
    <t>1061</t>
  </si>
  <si>
    <t>Harvey Mills</t>
  </si>
  <si>
    <t>40</t>
  </si>
  <si>
    <t>CLM-062</t>
  </si>
  <si>
    <t>1062</t>
  </si>
  <si>
    <t>Eleanor Shaw</t>
  </si>
  <si>
    <t>1280</t>
  </si>
  <si>
    <t>CLM-063</t>
  </si>
  <si>
    <t>1063</t>
  </si>
  <si>
    <t>Brandon Cole</t>
  </si>
  <si>
    <t>910.00</t>
  </si>
  <si>
    <t>CLM-064</t>
  </si>
  <si>
    <t>1064</t>
  </si>
  <si>
    <t>Abigail Hunt</t>
  </si>
  <si>
    <t>CLM-065</t>
  </si>
  <si>
    <t>1065</t>
  </si>
  <si>
    <t>Stuart Kemp</t>
  </si>
  <si>
    <t>54</t>
  </si>
  <si>
    <t>260.00</t>
  </si>
  <si>
    <t>CLM-066</t>
  </si>
  <si>
    <t>1066</t>
  </si>
  <si>
    <t>Georgia Lane</t>
  </si>
  <si>
    <t>CLM-067</t>
  </si>
  <si>
    <t>1067</t>
  </si>
  <si>
    <t>Marcus Doyle</t>
  </si>
  <si>
    <t>1850.00</t>
  </si>
  <si>
    <t>CLM-068</t>
  </si>
  <si>
    <t>1068</t>
  </si>
  <si>
    <t>Faith Morgan</t>
  </si>
  <si>
    <t>CLM-069</t>
  </si>
  <si>
    <t>1069</t>
  </si>
  <si>
    <t>Shannon Reid</t>
  </si>
  <si>
    <t>1650.00</t>
  </si>
  <si>
    <t>CLM-070</t>
  </si>
  <si>
    <t>1070</t>
  </si>
  <si>
    <t>Tyler Grant</t>
  </si>
  <si>
    <t>CLM-071</t>
  </si>
  <si>
    <t>1071</t>
  </si>
  <si>
    <t>Jordan Blake</t>
  </si>
  <si>
    <t>830.00</t>
  </si>
  <si>
    <t>CLM-072</t>
  </si>
  <si>
    <t>1072</t>
  </si>
  <si>
    <t>Amelia Cross</t>
  </si>
  <si>
    <t>CLM-073</t>
  </si>
  <si>
    <t>1073</t>
  </si>
  <si>
    <t>Reece Turner</t>
  </si>
  <si>
    <t>770.00</t>
  </si>
  <si>
    <t>CLM-074</t>
  </si>
  <si>
    <t>1074</t>
  </si>
  <si>
    <t>Nina Barrett</t>
  </si>
  <si>
    <t>770</t>
  </si>
  <si>
    <t>CLM-075</t>
  </si>
  <si>
    <t>1075</t>
  </si>
  <si>
    <t>Calvin Moss</t>
  </si>
  <si>
    <t>490.00</t>
  </si>
  <si>
    <t>CLM-076</t>
  </si>
  <si>
    <t>1076</t>
  </si>
  <si>
    <t>Amber Ellis</t>
  </si>
  <si>
    <t>CLM-077</t>
  </si>
  <si>
    <t>1077</t>
  </si>
  <si>
    <t>Joel Fraser</t>
  </si>
  <si>
    <t>2300.00</t>
  </si>
  <si>
    <t>CLM-078</t>
  </si>
  <si>
    <t>1078</t>
  </si>
  <si>
    <t>Clara Jennings</t>
  </si>
  <si>
    <t>CLM-079</t>
  </si>
  <si>
    <t>1079</t>
  </si>
  <si>
    <t>Martin Doyle</t>
  </si>
  <si>
    <t>1450.00</t>
  </si>
  <si>
    <t>CLM-080</t>
  </si>
  <si>
    <t>1080</t>
  </si>
  <si>
    <t>Rebecca Lowe</t>
  </si>
  <si>
    <t>CLM-081</t>
  </si>
  <si>
    <t>1081</t>
  </si>
  <si>
    <t>Daniel Moore</t>
  </si>
  <si>
    <t>CLM-082</t>
  </si>
  <si>
    <t>1082</t>
  </si>
  <si>
    <t>Sarah Patel</t>
  </si>
  <si>
    <t>1310</t>
  </si>
  <si>
    <t>CLM-083</t>
  </si>
  <si>
    <t>1083</t>
  </si>
  <si>
    <t>Anthony Wells</t>
  </si>
  <si>
    <t>920.00</t>
  </si>
  <si>
    <t>CLM-084</t>
  </si>
  <si>
    <t>1084</t>
  </si>
  <si>
    <t>Lucy Hammond</t>
  </si>
  <si>
    <t>CLM-085</t>
  </si>
  <si>
    <t>1085</t>
  </si>
  <si>
    <t>Paul Gibson</t>
  </si>
  <si>
    <t>265.00</t>
  </si>
  <si>
    <t>CLM-086</t>
  </si>
  <si>
    <t>1086</t>
  </si>
  <si>
    <t>Holly Barrett</t>
  </si>
  <si>
    <t>CLM-087</t>
  </si>
  <si>
    <t>1087</t>
  </si>
  <si>
    <t>Stacey Quinn</t>
  </si>
  <si>
    <t>1900.00</t>
  </si>
  <si>
    <t>CLM-088</t>
  </si>
  <si>
    <t>1088</t>
  </si>
  <si>
    <t>Jamie Foster</t>
  </si>
  <si>
    <t>CLM-089</t>
  </si>
  <si>
    <t>1089</t>
  </si>
  <si>
    <t>Oliver Payne</t>
  </si>
  <si>
    <t>1680.00</t>
  </si>
  <si>
    <t>CLM-090</t>
  </si>
  <si>
    <t>1090</t>
  </si>
  <si>
    <t>Charlotte Dean</t>
  </si>
  <si>
    <t>CLM-091</t>
  </si>
  <si>
    <t>1091</t>
  </si>
  <si>
    <t>Henry Walsh</t>
  </si>
  <si>
    <t>840.00</t>
  </si>
  <si>
    <t>CLM-092</t>
  </si>
  <si>
    <t>1092</t>
  </si>
  <si>
    <t>Emily Fraser</t>
  </si>
  <si>
    <t>CLM-093</t>
  </si>
  <si>
    <t>1093</t>
  </si>
  <si>
    <t>Leon Carter</t>
  </si>
  <si>
    <t>56</t>
  </si>
  <si>
    <t>CLM-094</t>
  </si>
  <si>
    <t>1094</t>
  </si>
  <si>
    <t>Grace Nolan</t>
  </si>
  <si>
    <t>CLM-095</t>
  </si>
  <si>
    <t>1095</t>
  </si>
  <si>
    <t>Marcus Boyd</t>
  </si>
  <si>
    <t>495.00</t>
  </si>
  <si>
    <t>CLM-096</t>
  </si>
  <si>
    <t>1096</t>
  </si>
  <si>
    <t>Abbie Lowe</t>
  </si>
  <si>
    <t>CLM-097</t>
  </si>
  <si>
    <t>1097</t>
  </si>
  <si>
    <t>Sean Turner</t>
  </si>
  <si>
    <t>2350.00</t>
  </si>
  <si>
    <t>CLM-098</t>
  </si>
  <si>
    <t>1098</t>
  </si>
  <si>
    <t>Chloe Jennings</t>
  </si>
  <si>
    <t>CLM-099</t>
  </si>
  <si>
    <t>1099</t>
  </si>
  <si>
    <t>Martin Shaw</t>
  </si>
  <si>
    <t>CLM-100</t>
  </si>
  <si>
    <t>1100</t>
  </si>
  <si>
    <t>Rebecca Flynn</t>
  </si>
  <si>
    <t>CLM-101</t>
  </si>
  <si>
    <t>1101</t>
  </si>
  <si>
    <t>Daniel Harris</t>
  </si>
  <si>
    <t>CLM-102</t>
  </si>
  <si>
    <t>1102</t>
  </si>
  <si>
    <t>Sophie Turner</t>
  </si>
  <si>
    <t>1320</t>
  </si>
  <si>
    <t>CLM-103</t>
  </si>
  <si>
    <t>1103</t>
  </si>
  <si>
    <t>Patrick Lewis</t>
  </si>
  <si>
    <t>930.00</t>
  </si>
  <si>
    <t>CLM-104</t>
  </si>
  <si>
    <t>1104</t>
  </si>
  <si>
    <t>Emily Walsh</t>
  </si>
  <si>
    <t>CLM-105</t>
  </si>
  <si>
    <t>1105</t>
  </si>
  <si>
    <t>Shane Cooper</t>
  </si>
  <si>
    <t>270.00</t>
  </si>
  <si>
    <t>CLM-106</t>
  </si>
  <si>
    <t>1106</t>
  </si>
  <si>
    <t>Georgia Adams</t>
  </si>
  <si>
    <t>CLM-107</t>
  </si>
  <si>
    <t>1107</t>
  </si>
  <si>
    <t>Marcus Hill</t>
  </si>
  <si>
    <t>1920.00</t>
  </si>
  <si>
    <t>CLM-108</t>
  </si>
  <si>
    <t>1108</t>
  </si>
  <si>
    <t>Faith Clarke</t>
  </si>
  <si>
    <t>CLM-109</t>
  </si>
  <si>
    <t>1109</t>
  </si>
  <si>
    <t>Shannon Boyd</t>
  </si>
  <si>
    <t>1690.00</t>
  </si>
  <si>
    <t>CLM-110</t>
  </si>
  <si>
    <t>1110</t>
  </si>
  <si>
    <t>Tyler Mason</t>
  </si>
  <si>
    <t>CLM-111</t>
  </si>
  <si>
    <t>1111</t>
  </si>
  <si>
    <t>Jordan Ellis</t>
  </si>
  <si>
    <t>CLM-112</t>
  </si>
  <si>
    <t>1112</t>
  </si>
  <si>
    <t>Amelia Burns</t>
  </si>
  <si>
    <t>CLM-113</t>
  </si>
  <si>
    <t>1113</t>
  </si>
  <si>
    <t>Reece Nolan</t>
  </si>
  <si>
    <t>57</t>
  </si>
  <si>
    <t>790.00</t>
  </si>
  <si>
    <t>CLM-114</t>
  </si>
  <si>
    <t>1114</t>
  </si>
  <si>
    <t>Nina Fraser</t>
  </si>
  <si>
    <t>790</t>
  </si>
  <si>
    <t>CLM-115</t>
  </si>
  <si>
    <t>1115</t>
  </si>
  <si>
    <t>Calvin Doyle</t>
  </si>
  <si>
    <t>510.00</t>
  </si>
  <si>
    <t>CLM-116</t>
  </si>
  <si>
    <t>1116</t>
  </si>
  <si>
    <t>Amber Payne</t>
  </si>
  <si>
    <t>CLM-117</t>
  </si>
  <si>
    <t>1117</t>
  </si>
  <si>
    <t>Joel Carter</t>
  </si>
  <si>
    <t>2400.00</t>
  </si>
  <si>
    <t>CLM-118</t>
  </si>
  <si>
    <t>1118</t>
  </si>
  <si>
    <t>Clara Boyd</t>
  </si>
  <si>
    <t>CLM-119</t>
  </si>
  <si>
    <t>1119</t>
  </si>
  <si>
    <t>Martin Lowe</t>
  </si>
  <si>
    <t>1520.00</t>
  </si>
  <si>
    <t>CLM-120</t>
  </si>
  <si>
    <t>1120</t>
  </si>
  <si>
    <t>CLM-121</t>
  </si>
  <si>
    <t>1121</t>
  </si>
  <si>
    <t>Daniel Hunt</t>
  </si>
  <si>
    <t>CLM-122</t>
  </si>
  <si>
    <t>1122</t>
  </si>
  <si>
    <t>Sophie Lowe</t>
  </si>
  <si>
    <t>1330</t>
  </si>
  <si>
    <t>CLM-123</t>
  </si>
  <si>
    <t>1123</t>
  </si>
  <si>
    <t>Patrick Boyd</t>
  </si>
  <si>
    <t>940.00</t>
  </si>
  <si>
    <t>CLM-124</t>
  </si>
  <si>
    <t>1124</t>
  </si>
  <si>
    <t>Emily Mason</t>
  </si>
  <si>
    <t>CLM-125</t>
  </si>
  <si>
    <t>1125</t>
  </si>
  <si>
    <t>Shane Payne</t>
  </si>
  <si>
    <t>280.00</t>
  </si>
  <si>
    <t>CLM-126</t>
  </si>
  <si>
    <t>1126</t>
  </si>
  <si>
    <t>Georgia Fraser</t>
  </si>
  <si>
    <t>CLM-127</t>
  </si>
  <si>
    <t>1127</t>
  </si>
  <si>
    <t>Marcus Nolan</t>
  </si>
  <si>
    <t>1940.00</t>
  </si>
  <si>
    <t>CLM-128</t>
  </si>
  <si>
    <t>1128</t>
  </si>
  <si>
    <t>Faith Ellis</t>
  </si>
  <si>
    <t>CLM-129</t>
  </si>
  <si>
    <t>1129</t>
  </si>
  <si>
    <t>Shannon Clarke</t>
  </si>
  <si>
    <t>CLM-130</t>
  </si>
  <si>
    <t>1130</t>
  </si>
  <si>
    <t>Tyler Brooks</t>
  </si>
  <si>
    <t>CLM-131</t>
  </si>
  <si>
    <t>1131</t>
  </si>
  <si>
    <t>Jordan Payne</t>
  </si>
  <si>
    <t>860.00</t>
  </si>
  <si>
    <t>CLM-132</t>
  </si>
  <si>
    <t>1132</t>
  </si>
  <si>
    <t>Amelia Doyle</t>
  </si>
  <si>
    <t>CLM-133</t>
  </si>
  <si>
    <t>1133</t>
  </si>
  <si>
    <t>Reece Mason</t>
  </si>
  <si>
    <t>58</t>
  </si>
  <si>
    <t>800.00</t>
  </si>
  <si>
    <t>CLM-134</t>
  </si>
  <si>
    <t>1134</t>
  </si>
  <si>
    <t>Nina Lowe</t>
  </si>
  <si>
    <t>800</t>
  </si>
  <si>
    <t>CLM-135</t>
  </si>
  <si>
    <t>1135</t>
  </si>
  <si>
    <t>Calvin Shaw</t>
  </si>
  <si>
    <t>520.00</t>
  </si>
  <si>
    <t>CLM-136</t>
  </si>
  <si>
    <t>1136</t>
  </si>
  <si>
    <t>Amber Boyd</t>
  </si>
  <si>
    <t>CLM-137</t>
  </si>
  <si>
    <t>1137</t>
  </si>
  <si>
    <t>Joel Mason</t>
  </si>
  <si>
    <t>2450.00</t>
  </si>
  <si>
    <t>CLM-138</t>
  </si>
  <si>
    <t>1138</t>
  </si>
  <si>
    <t>Clara Payne</t>
  </si>
  <si>
    <t>CLM-139</t>
  </si>
  <si>
    <t>1139</t>
  </si>
  <si>
    <t>Martin Ellis</t>
  </si>
  <si>
    <t>1540.00</t>
  </si>
  <si>
    <t>CLM-140</t>
  </si>
  <si>
    <t>1140</t>
  </si>
  <si>
    <t>Rebecca Nolan</t>
  </si>
  <si>
    <t>CLM-141</t>
  </si>
  <si>
    <t>1141</t>
  </si>
  <si>
    <t>Daniel Brooks</t>
  </si>
  <si>
    <t>CLM-142</t>
  </si>
  <si>
    <t>1142</t>
  </si>
  <si>
    <t>Sophie Mason</t>
  </si>
  <si>
    <t>1340</t>
  </si>
  <si>
    <t>CLM-143</t>
  </si>
  <si>
    <t>1143</t>
  </si>
  <si>
    <t>Patrick Ellis</t>
  </si>
  <si>
    <t>950.00</t>
  </si>
  <si>
    <t>CLM-144</t>
  </si>
  <si>
    <t>1144</t>
  </si>
  <si>
    <t>Emily Payne</t>
  </si>
  <si>
    <t>CLM-145</t>
  </si>
  <si>
    <t>1145</t>
  </si>
  <si>
    <t>Shane Nolan</t>
  </si>
  <si>
    <t>290.00</t>
  </si>
  <si>
    <t>CLM-146</t>
  </si>
  <si>
    <t>1146</t>
  </si>
  <si>
    <t>Georgia Shaw</t>
  </si>
  <si>
    <t>CLM-147</t>
  </si>
  <si>
    <t>1147</t>
  </si>
  <si>
    <t>Marcus Clarke</t>
  </si>
  <si>
    <t>1960.00</t>
  </si>
  <si>
    <t>CLM-148</t>
  </si>
  <si>
    <t>1148</t>
  </si>
  <si>
    <t>Faith Nolan</t>
  </si>
  <si>
    <t>CLM-149</t>
  </si>
  <si>
    <t>1149</t>
  </si>
  <si>
    <t>Shannon Mason</t>
  </si>
  <si>
    <t>1710.00</t>
  </si>
  <si>
    <t>CLM-150</t>
  </si>
  <si>
    <t>1150</t>
  </si>
  <si>
    <t>Tyler Ellis</t>
  </si>
  <si>
    <t>CLM-151</t>
  </si>
  <si>
    <t>1151</t>
  </si>
  <si>
    <t>Jordan Clarke</t>
  </si>
  <si>
    <t>870.00</t>
  </si>
  <si>
    <t>CLM-152</t>
  </si>
  <si>
    <t>1152</t>
  </si>
  <si>
    <t>Amelia Nolan</t>
  </si>
  <si>
    <t>CLM-153</t>
  </si>
  <si>
    <t>1153</t>
  </si>
  <si>
    <t>Reece Payne</t>
  </si>
  <si>
    <t>59</t>
  </si>
  <si>
    <t>810.00</t>
  </si>
  <si>
    <t>CLM-154</t>
  </si>
  <si>
    <t>1154</t>
  </si>
  <si>
    <t>Nina Mason</t>
  </si>
  <si>
    <t>810</t>
  </si>
  <si>
    <t>CLM-155</t>
  </si>
  <si>
    <t>1155</t>
  </si>
  <si>
    <t>Calvin Ellis</t>
  </si>
  <si>
    <t>530.00</t>
  </si>
  <si>
    <t>CLM-156</t>
  </si>
  <si>
    <t>1156</t>
  </si>
  <si>
    <t>Amber Nolan</t>
  </si>
  <si>
    <t>CLM-157</t>
  </si>
  <si>
    <t>1157</t>
  </si>
  <si>
    <t>Joel Payne</t>
  </si>
  <si>
    <t>2500.00</t>
  </si>
  <si>
    <t>CLM-158</t>
  </si>
  <si>
    <t>1158</t>
  </si>
  <si>
    <t>Clara Mason</t>
  </si>
  <si>
    <t>CLM-159</t>
  </si>
  <si>
    <t>1159</t>
  </si>
  <si>
    <t>Martin Clarke</t>
  </si>
  <si>
    <t>1560.00</t>
  </si>
  <si>
    <t>CLM-160</t>
  </si>
  <si>
    <t>1160</t>
  </si>
  <si>
    <t>Rebecca Ellis</t>
  </si>
  <si>
    <t>CLM-161</t>
  </si>
  <si>
    <t>1161</t>
  </si>
  <si>
    <t>Daniel Mason</t>
  </si>
  <si>
    <t>CLM-162</t>
  </si>
  <si>
    <t>1162</t>
  </si>
  <si>
    <t>Sophie Clarke</t>
  </si>
  <si>
    <t>1350</t>
  </si>
  <si>
    <t>CLM-163</t>
  </si>
  <si>
    <t>1163</t>
  </si>
  <si>
    <t>Patrick Nolan</t>
  </si>
  <si>
    <t>960.00</t>
  </si>
  <si>
    <t>CLM-164</t>
  </si>
  <si>
    <t>1164</t>
  </si>
  <si>
    <t>Emily Ellis</t>
  </si>
  <si>
    <t>CLM-165</t>
  </si>
  <si>
    <t>1165</t>
  </si>
  <si>
    <t>Shane Mason</t>
  </si>
  <si>
    <t>CLM-166</t>
  </si>
  <si>
    <t>1166</t>
  </si>
  <si>
    <t>Georgia Ellis</t>
  </si>
  <si>
    <t>CLM-167</t>
  </si>
  <si>
    <t>1167</t>
  </si>
  <si>
    <t>Marcus Payne</t>
  </si>
  <si>
    <t>1980.00</t>
  </si>
  <si>
    <t>CLM-168</t>
  </si>
  <si>
    <t>1168</t>
  </si>
  <si>
    <t>Faith Mason</t>
  </si>
  <si>
    <t>CLM-169</t>
  </si>
  <si>
    <t>1169</t>
  </si>
  <si>
    <t>Shannon Ellis</t>
  </si>
  <si>
    <t>1720.00</t>
  </si>
  <si>
    <t>CLM-170</t>
  </si>
  <si>
    <t>1170</t>
  </si>
  <si>
    <t>Tyler Clarke</t>
  </si>
  <si>
    <t>CLM-171</t>
  </si>
  <si>
    <t>1171</t>
  </si>
  <si>
    <t>Jordan Mason</t>
  </si>
  <si>
    <t>CLM-172</t>
  </si>
  <si>
    <t>1172</t>
  </si>
  <si>
    <t>Amelia Ellis</t>
  </si>
  <si>
    <t>CLM-173</t>
  </si>
  <si>
    <t>1173</t>
  </si>
  <si>
    <t>Reece Clarke</t>
  </si>
  <si>
    <t>60</t>
  </si>
  <si>
    <t>CLM-174</t>
  </si>
  <si>
    <t>1174</t>
  </si>
  <si>
    <t>Nina Nolan</t>
  </si>
  <si>
    <t>820</t>
  </si>
  <si>
    <t>CLM-175</t>
  </si>
  <si>
    <t>1175</t>
  </si>
  <si>
    <t>Calvin Mason</t>
  </si>
  <si>
    <t>540.00</t>
  </si>
  <si>
    <t>CLM-176</t>
  </si>
  <si>
    <t>1176</t>
  </si>
  <si>
    <t>CLM-177</t>
  </si>
  <si>
    <t>1177</t>
  </si>
  <si>
    <t>Joel Clarke</t>
  </si>
  <si>
    <t>2550.00</t>
  </si>
  <si>
    <t>CLM-178</t>
  </si>
  <si>
    <t>1178</t>
  </si>
  <si>
    <t>Clara Nolan</t>
  </si>
  <si>
    <t>CLM-179</t>
  </si>
  <si>
    <t>1179</t>
  </si>
  <si>
    <t>Martin Mason</t>
  </si>
  <si>
    <t>1580.00</t>
  </si>
  <si>
    <t>CLM-180</t>
  </si>
  <si>
    <t>1180</t>
  </si>
  <si>
    <t>Rebecca Clarke</t>
  </si>
  <si>
    <t>CLM-181</t>
  </si>
  <si>
    <t>1181</t>
  </si>
  <si>
    <t>Daniel Ellis</t>
  </si>
  <si>
    <t>CLM-182</t>
  </si>
  <si>
    <t>1182</t>
  </si>
  <si>
    <t>1360</t>
  </si>
  <si>
    <t>CLM-183</t>
  </si>
  <si>
    <t>1183</t>
  </si>
  <si>
    <t>Patrick Mason</t>
  </si>
  <si>
    <t>970.00</t>
  </si>
  <si>
    <t>CLM-184</t>
  </si>
  <si>
    <t>1184</t>
  </si>
  <si>
    <t>Emily Nolan</t>
  </si>
  <si>
    <t>CLM-185</t>
  </si>
  <si>
    <t>1185</t>
  </si>
  <si>
    <t>Shane Ellis</t>
  </si>
  <si>
    <t>310.00</t>
  </si>
  <si>
    <t>CLM-186</t>
  </si>
  <si>
    <t>1186</t>
  </si>
  <si>
    <t>Georgia Clarke</t>
  </si>
  <si>
    <t>CLM-187</t>
  </si>
  <si>
    <t>1187</t>
  </si>
  <si>
    <t>Marcus Mason</t>
  </si>
  <si>
    <t>1990.00</t>
  </si>
  <si>
    <t>CLM-188</t>
  </si>
  <si>
    <t>1188</t>
  </si>
  <si>
    <t>CLM-189</t>
  </si>
  <si>
    <t>1189</t>
  </si>
  <si>
    <t>1730.00</t>
  </si>
  <si>
    <t>CLM-190</t>
  </si>
  <si>
    <t>1190</t>
  </si>
  <si>
    <t>CLM-191</t>
  </si>
  <si>
    <t>1191</t>
  </si>
  <si>
    <t>890.00</t>
  </si>
  <si>
    <t>CLM-192</t>
  </si>
  <si>
    <t>1192</t>
  </si>
  <si>
    <t>Amelia Clarke</t>
  </si>
  <si>
    <t>CLM-193</t>
  </si>
  <si>
    <t>1193</t>
  </si>
  <si>
    <t>61</t>
  </si>
  <si>
    <t>CLM-194</t>
  </si>
  <si>
    <t>1194</t>
  </si>
  <si>
    <t>Nina Ellis</t>
  </si>
  <si>
    <t>830</t>
  </si>
  <si>
    <t>CLM-195</t>
  </si>
  <si>
    <t>1195</t>
  </si>
  <si>
    <t>Calvin Clarke</t>
  </si>
  <si>
    <t>550.00</t>
  </si>
  <si>
    <t>CLM-196</t>
  </si>
  <si>
    <t>1196</t>
  </si>
  <si>
    <t>Amber Mason</t>
  </si>
  <si>
    <t>CLM-197</t>
  </si>
  <si>
    <t>1197</t>
  </si>
  <si>
    <t>Joel Ellis</t>
  </si>
  <si>
    <t>2600.00</t>
  </si>
  <si>
    <t>CLM-198</t>
  </si>
  <si>
    <t>1198</t>
  </si>
  <si>
    <t>Clara Clarke</t>
  </si>
  <si>
    <t>CLM-199</t>
  </si>
  <si>
    <t>1199</t>
  </si>
  <si>
    <t>CLM-200</t>
  </si>
  <si>
    <t>1800</t>
  </si>
  <si>
    <t>1400</t>
  </si>
  <si>
    <t>dublin</t>
  </si>
  <si>
    <t>1600</t>
  </si>
  <si>
    <t>Cancelled</t>
  </si>
  <si>
    <t>1700</t>
  </si>
  <si>
    <t>2450</t>
  </si>
  <si>
    <t>1710</t>
  </si>
  <si>
    <t>1580</t>
  </si>
  <si>
    <t>1990</t>
  </si>
  <si>
    <t>DUBLIN</t>
  </si>
  <si>
    <t>Auto</t>
  </si>
  <si>
    <t>Health</t>
  </si>
  <si>
    <t>Life</t>
  </si>
  <si>
    <t>Travel</t>
  </si>
  <si>
    <t>Approved</t>
  </si>
  <si>
    <t>Closed</t>
  </si>
  <si>
    <t>Pending</t>
  </si>
  <si>
    <t>Under Review</t>
  </si>
  <si>
    <t>13/02/2022</t>
  </si>
  <si>
    <t>Row Labels</t>
  </si>
  <si>
    <t>Grand Total</t>
  </si>
  <si>
    <t>Count of claim_amount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</si>
  <si>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</si>
  <si>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</si>
  <si>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</si>
  <si>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</si>
  <si>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</si>
  <si>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</si>
  <si>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</si>
  <si>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</si>
  <si>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</si>
  <si>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</si>
  <si>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</si>
  <si>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</si>
  <si>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claim_amount2</t>
  </si>
  <si>
    <t>Average of claim_amount</t>
  </si>
  <si>
    <t>Column Labels</t>
  </si>
  <si>
    <t>Sum of claim_amount2</t>
  </si>
  <si>
    <t>Age Group</t>
  </si>
  <si>
    <t>Band</t>
  </si>
  <si>
    <t>Min Age</t>
  </si>
  <si>
    <t>18-24</t>
  </si>
  <si>
    <t>25-34</t>
  </si>
  <si>
    <t>35-44</t>
  </si>
  <si>
    <t>45-54</t>
  </si>
  <si>
    <t>55+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</si>
</sst>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278">
    <dxf>
      <numFmt numFmtId="166" formatCode="0.00000"/>
    </dxf>
    <dxf>
      <numFmt numFmtId="165" formatCode="0.0000"/>
    </dxf>
    <dxf>
      <numFmt numFmtId="164" formatCode="0.0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166" formatCode="0.00000"/>
    </dxf>
    <dxf>
      <numFmt numFmtId="165" formatCode="0.0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4" formatCode="0.000"/>
    </dxf>
    <dxf>
      <numFmt numFmtId="165" formatCode="0.0000"/>
    </dxf>
    <dxf>
      <numFmt numFmtId="166" formatCode="0.00000"/>
    </dxf>
    <dxf>
      <numFmt numFmtId="2" formatCode="0.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2" formatCode="0.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2" formatCode="0.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[ClaimsProjectExcel.xlsx]Claims by Month!PivotTable1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Claims</a:t>
            </a:r>
            <a:r>
              <a:rPr lang="en-GB" baseline="0"/>
              <a:t> by Month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'Claims by Month'!$B$3:$B$4</c:f>
              <c:strCache>
                <c:ptCount val="1"/>
                <c:pt idx="0">
                  <c:v>Auto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'Claims by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'Claims by Month'!$B$5:$B$16</c:f>
              <c:numCache>
                <c:formatCode>General</c:formatCode>
                <c:ptCount val="12"/>
                <c:pt idx="0">
                  <c:v>1200</c:v>
                </c:pt>
                <c:pt idx="1">
                  <c:v>900</c:v>
                </c:pt>
                <c:pt idx="2">
                  <c:v>1075</c:v>
                </c:pt>
                <c:pt idx="3">
                  <c:v>1035</c:v>
                </c:pt>
                <c:pt idx="4">
                  <c:v>1055</c:v>
                </c:pt>
                <c:pt idx="5">
                  <c:v>1075</c:v>
                </c:pt>
                <c:pt idx="6">
                  <c:v>1085</c:v>
                </c:pt>
                <c:pt idx="7">
                  <c:v>1095</c:v>
                </c:pt>
                <c:pt idx="8">
                  <c:v>1105</c:v>
                </c:pt>
                <c:pt idx="9">
                  <c:v>1350</c:v>
                </c:pt>
                <c:pt idx="10">
                  <c:v>1120</c:v>
                </c:pt>
                <c:pt idx="11">
                  <c:v>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F-4013-978F-51207A67B6F1}"/>
            </c:ext>
          </c:extLst>
        </c:ser>
        <c:ser>
          <c:idx val="1"/>
          <c:order val="1"/>
          <c:tx>
            <c:strRef>
              <c:f>'Claims by Month'!$C$3:$C$4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'Claims by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'Claims by Month'!$C$5:$C$16</c:f>
              <c:numCache>
                <c:formatCode>General</c:formatCode>
                <c:ptCount val="12"/>
                <c:pt idx="0">
                  <c:v>0</c:v>
                </c:pt>
                <c:pt idx="1">
                  <c:v>2500</c:v>
                </c:pt>
                <c:pt idx="2">
                  <c:v>2000</c:v>
                </c:pt>
                <c:pt idx="3">
                  <c:v>2025</c:v>
                </c:pt>
                <c:pt idx="4">
                  <c:v>2025</c:v>
                </c:pt>
                <c:pt idx="5">
                  <c:v>2100</c:v>
                </c:pt>
                <c:pt idx="6">
                  <c:v>2135</c:v>
                </c:pt>
                <c:pt idx="7">
                  <c:v>2170</c:v>
                </c:pt>
                <c:pt idx="8">
                  <c:v>1960</c:v>
                </c:pt>
                <c:pt idx="9">
                  <c:v>2240</c:v>
                </c:pt>
                <c:pt idx="10">
                  <c:v>2550</c:v>
                </c:pt>
                <c:pt idx="11">
                  <c:v>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AF-4013-978F-51207A67B6F1}"/>
            </c:ext>
          </c:extLst>
        </c:ser>
        <c:ser>
          <c:idx val="2"/>
          <c:order val="2"/>
          <c:tx>
            <c:strRef>
              <c:f>'Claims by Month'!$D$3:$D$4</c:f>
              <c:strCache>
                <c:ptCount val="1"/>
                <c:pt idx="0">
                  <c:v>Life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'Claims by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'Claims by Month'!$D$5:$D$16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1550</c:v>
                </c:pt>
                <c:pt idx="3">
                  <c:v>1700</c:v>
                </c:pt>
                <c:pt idx="4">
                  <c:v>1600</c:v>
                </c:pt>
                <c:pt idx="5">
                  <c:v>1565</c:v>
                </c:pt>
                <c:pt idx="6">
                  <c:v>1500</c:v>
                </c:pt>
                <c:pt idx="7">
                  <c:v>1520</c:v>
                </c:pt>
                <c:pt idx="8">
                  <c:v>1540</c:v>
                </c:pt>
                <c:pt idx="9">
                  <c:v>1640</c:v>
                </c:pt>
                <c:pt idx="10">
                  <c:v>0</c:v>
                </c:pt>
                <c:pt idx="11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AF-4013-978F-51207A67B6F1}"/>
            </c:ext>
          </c:extLst>
        </c:ser>
        <c:ser>
          <c:idx val="3"/>
          <c:order val="3"/>
          <c:tx>
            <c:strRef>
              <c:f>'Claims by Month'!$E$3:$E$4</c:f>
              <c:strCache>
                <c:ptCount val="1"/>
                <c:pt idx="0">
                  <c:v>Pet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'Claims by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'Claims by Month'!$E$5:$E$16</c:f>
              <c:numCache>
                <c:formatCode>General</c:formatCode>
                <c:ptCount val="12"/>
                <c:pt idx="0">
                  <c:v>0</c:v>
                </c:pt>
                <c:pt idx="1">
                  <c:v>200</c:v>
                </c:pt>
                <c:pt idx="2">
                  <c:v>250</c:v>
                </c:pt>
                <c:pt idx="3">
                  <c:v>387.5</c:v>
                </c:pt>
                <c:pt idx="4">
                  <c:v>370</c:v>
                </c:pt>
                <c:pt idx="5">
                  <c:v>377.5</c:v>
                </c:pt>
                <c:pt idx="6">
                  <c:v>382.5</c:v>
                </c:pt>
                <c:pt idx="7">
                  <c:v>395</c:v>
                </c:pt>
                <c:pt idx="8">
                  <c:v>405</c:v>
                </c:pt>
                <c:pt idx="9">
                  <c:v>415</c:v>
                </c:pt>
                <c:pt idx="10">
                  <c:v>425</c:v>
                </c:pt>
                <c:pt idx="11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AF-4013-978F-51207A67B6F1}"/>
            </c:ext>
          </c:extLst>
        </c:ser>
        <c:ser>
          <c:idx val="4"/>
          <c:order val="4"/>
          <c:tx>
            <c:strRef>
              <c:f>'Claims by Month'!$F$3:$F$4</c:f>
              <c:strCache>
                <c:ptCount val="1"/>
                <c:pt idx="0">
                  <c:v>Travel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'Claims by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'Claims by Month'!$F$5:$F$16</c:f>
              <c:numCache>
                <c:formatCode>General</c:formatCode>
                <c:ptCount val="12"/>
                <c:pt idx="0">
                  <c:v>950</c:v>
                </c:pt>
                <c:pt idx="1">
                  <c:v>0</c:v>
                </c:pt>
                <c:pt idx="2">
                  <c:v>900</c:v>
                </c:pt>
                <c:pt idx="3">
                  <c:v>880</c:v>
                </c:pt>
                <c:pt idx="4">
                  <c:v>910</c:v>
                </c:pt>
                <c:pt idx="5">
                  <c:v>920</c:v>
                </c:pt>
                <c:pt idx="6">
                  <c:v>930</c:v>
                </c:pt>
                <c:pt idx="7">
                  <c:v>940</c:v>
                </c:pt>
                <c:pt idx="8">
                  <c:v>950</c:v>
                </c:pt>
                <c:pt idx="9">
                  <c:v>960</c:v>
                </c:pt>
                <c:pt idx="10">
                  <c:v>970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AF-4013-978F-51207A67B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68709776"/>
        <c:axId val="1689955024"/>
      </c:barChart>
      <c:catAx>
        <c:axId val="156870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955024"/>
        <c:crosses val="autoZero"/>
        <c:auto val="1"/>
        <c:lblAlgn val="ctr"/>
        <c:lblOffset val="100"/>
        <c:noMultiLvlLbl val="0"/>
      </c:catAx>
      <c:valAx>
        <c:axId val="168995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70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[ClaimsProjectExcel.xlsx]Claims by City!PivotTable2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</a:t>
            </a:r>
            <a:r>
              <a:rPr lang="en-US" baseline="0"/>
              <a:t> Amount by City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042944785276074"/>
              <c:y val="0.146892655367231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717791411042947E-2"/>
              <c:y val="0.14312617702448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8527607361963278E-2"/>
              <c:y val="0.1242937853107344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269938650306758"/>
              <c:y val="-0.16949152542372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6073619631902"/>
              <c:y val="-0.1016949152542372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1842481039563305"/>
          <c:y val="9.8128327179441532E-2"/>
          <c:w val="0.53861069513550064"/>
          <c:h val="0.82668119874846135"/>
        </c:manualLayout>
      </c:layout>
      <c:pieChart>
        <c:varyColors val="1"/>
        <c:ser>
          <c:idx val="0"/>
          <c:order val="0"/>
          <c:tx>
            <c:strRef>
              <c:f>'Claims by City'!$B$3</c:f>
              <c:strCache>
                <c:ptCount val="1"/>
                <c:pt idx="0">
                  <c:v>Sum of claim_amount2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971-4C07-ADD5-8F05E0AE30D5}"/>
              </c:ext>
            </c:extLst>
          </c:dPt>
          <c:dPt>
            <c:idx val="1"/>
            <c:bubble3D val="0"/>
            <c:explosion val="1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71-4C07-ADD5-8F05E0AE30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971-4C07-ADD5-8F05E0AE30D5}"/>
              </c:ext>
            </c:extLst>
          </c:dPt>
          <c:dPt>
            <c:idx val="3"/>
            <c:bubble3D val="0"/>
            <c:explosion val="1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71-4C07-ADD5-8F05E0AE30D5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71-4C07-ADD5-8F05E0AE30D5}"/>
              </c:ext>
            </c:extLst>
          </c:dPt>
          <c:dLbls>
            <c:dLbl>
              <c:idx val="0"/>
              <c:layout>
                <c:manualLayout>
                  <c:x val="-4.1717791411042947E-2"/>
                  <c:y val="0.143126177024482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E971-4C07-ADD5-8F05E0AE30D5}"/>
                </c:ext>
              </c:extLst>
            </c:dLbl>
            <c:dLbl>
              <c:idx val="1"/>
              <c:layout>
                <c:manualLayout>
                  <c:x val="-7.8527607361963278E-2"/>
                  <c:y val="0.124293785310734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971-4C07-ADD5-8F05E0AE30D5}"/>
                </c:ext>
              </c:extLst>
            </c:dLbl>
            <c:dLbl>
              <c:idx val="2"/>
              <c:layout>
                <c:manualLayout>
                  <c:x val="-0.12269938650306758"/>
                  <c:y val="-0.1694915254237288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E971-4C07-ADD5-8F05E0AE30D5}"/>
                </c:ext>
              </c:extLst>
            </c:dLbl>
            <c:dLbl>
              <c:idx val="3"/>
              <c:layout>
                <c:manualLayout>
                  <c:x val="0.1276073619631902"/>
                  <c:y val="-0.1016949152542372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E971-4C07-ADD5-8F05E0AE30D5}"/>
                </c:ext>
              </c:extLst>
            </c:dLbl>
            <c:dLbl>
              <c:idx val="4"/>
              <c:layout>
                <c:manualLayout>
                  <c:x val="0.11042944785276074"/>
                  <c:y val="0.146892655367231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971-4C07-ADD5-8F05E0AE30D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'Claims by City'!$A$4:$A$8</c:f>
              <c:strCache>
                <c:ptCount val="5"/>
                <c:pt idx="0">
                  <c:v>Belfast</c:v>
                </c:pt>
                <c:pt idx="1">
                  <c:v>Cardiff</c:v>
                </c:pt>
                <c:pt idx="2">
                  <c:v>Dublin</c:v>
                </c:pt>
                <c:pt idx="3">
                  <c:v>Edinburgh</c:v>
                </c:pt>
                <c:pt idx="4">
                  <c:v>London</c:v>
                </c:pt>
              </c:strCache>
            </c:strRef>
          </c:cat>
          <c:val>
            <c:numRef>
              <c:f>'Claims by City'!$B$4:$B$8</c:f>
              <c:numCache>
                <c:formatCode>General</c:formatCode>
                <c:ptCount val="5"/>
                <c:pt idx="0">
                  <c:v>7315</c:v>
                </c:pt>
                <c:pt idx="1">
                  <c:v>9310</c:v>
                </c:pt>
                <c:pt idx="2">
                  <c:v>37000</c:v>
                </c:pt>
                <c:pt idx="3">
                  <c:v>20701</c:v>
                </c:pt>
                <c:pt idx="4">
                  <c:v>21630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1-4C07-ADD5-8F05E0AE30D5}"/>
            </c:ext>
          </c:extLst>
        </c:ser>
        <c:ser>
          <c:idx val="1"/>
          <c:order val="1"/>
          <c:tx>
            <c:strRef>
              <c:f>'Claims by City'!$C$3</c:f>
              <c:strCache>
                <c:ptCount val="1"/>
                <c:pt idx="0">
                  <c:v>Count of claim_amount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'Claims by City'!$A$4:$A$8</c:f>
              <c:strCache>
                <c:ptCount val="5"/>
                <c:pt idx="0">
                  <c:v>Belfast</c:v>
                </c:pt>
                <c:pt idx="1">
                  <c:v>Cardiff</c:v>
                </c:pt>
                <c:pt idx="2">
                  <c:v>Dublin</c:v>
                </c:pt>
                <c:pt idx="3">
                  <c:v>Edinburgh</c:v>
                </c:pt>
                <c:pt idx="4">
                  <c:v>London</c:v>
                </c:pt>
              </c:strCache>
            </c:strRef>
          </c:cat>
          <c:val>
            <c:numRef>
              <c:f>'Claims by City'!$C$4:$C$8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36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1-4C07-ADD5-8F05E0AE30D5}"/>
            </c:ext>
          </c:extLst>
        </c:ser>
        <c:ser>
          <c:idx val="2"/>
          <c:order val="2"/>
          <c:tx>
            <c:strRef>
              <c:f>'Claims by City'!$D$3</c:f>
              <c:strCache>
                <c:ptCount val="1"/>
                <c:pt idx="0">
                  <c:v>Average of claim_amount2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'Claims by City'!$A$4:$A$8</c:f>
              <c:strCache>
                <c:ptCount val="5"/>
                <c:pt idx="0">
                  <c:v>Belfast</c:v>
                </c:pt>
                <c:pt idx="1">
                  <c:v>Cardiff</c:v>
                </c:pt>
                <c:pt idx="2">
                  <c:v>Dublin</c:v>
                </c:pt>
                <c:pt idx="3">
                  <c:v>Edinburgh</c:v>
                </c:pt>
                <c:pt idx="4">
                  <c:v>London</c:v>
                </c:pt>
              </c:strCache>
            </c:strRef>
          </c:cat>
          <c:val>
            <c:numRef>
              <c:f>'Claims by City'!$D$4:$D$8</c:f>
              <c:numCache>
                <c:formatCode>General</c:formatCode>
                <c:ptCount val="5"/>
                <c:pt idx="0">
                  <c:v>385</c:v>
                </c:pt>
                <c:pt idx="1">
                  <c:v>931</c:v>
                </c:pt>
                <c:pt idx="2">
                  <c:v>2176.4705882352941</c:v>
                </c:pt>
                <c:pt idx="3">
                  <c:v>1478.6428571428571</c:v>
                </c:pt>
                <c:pt idx="4">
                  <c:v>1081.5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71-4C07-ADD5-8F05E0AE3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339724</xdr:colOff>
      <xdr:row>3</xdr:row>
      <xdr:rowOff>60324</xdr:rowOff>
    </xdr:from>
    <xdr:to>
      <xdr:col>14</xdr:col>
      <xdr:colOff>438149</xdr:colOff>
      <xdr:row>22</xdr:row>
      <xdr:rowOff>12699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463550</xdr:colOff>
      <xdr:row>2</xdr:row>
      <xdr:rowOff>82550</xdr:rowOff>
    </xdr:from>
    <xdr:to>
      <xdr:col>12</xdr:col>
      <xdr:colOff>400050</xdr:colOff>
      <xdr:row>19</xdr:row>
      <xdr:rowOff>127000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yler Hughes" refreshedDate="46285.815224768521" createdVersion="6" refreshedVersion="6" minRefreshableVersion="3" recordCount="199">
  <cacheSource type="worksheet">
    <worksheetSource ref="A1:M200" sheet="ClaimsData - Clean"/>
  </cacheSource>
  <cacheFields count="13">
    <cacheField name="claim_id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Age Group" numFmtId="0">
      <sharedItems count="5">
        <s v="25-34"/>
        <s v="45-54"/>
        <s v="18-24"/>
        <s v="55+"/>
        <s v="35-44"/>
      </sharedItems>
    </cacheField>
    <cacheField name="age" numFmtId="0">
      <sharedItems containsString="0" containsBlank="1" containsNumber="1" containsInteger="1" minValue="5" maxValue="120"/>
    </cacheField>
    <cacheField name="gender" numFmtId="0">
      <sharedItems containsBlank="1"/>
    </cacheField>
    <cacheField name="claim_date" numFmtId="14">
      <sharedItems containsNonDate="0" containsDate="1" containsString="0" containsBlank="1" minDate="2022-01-05T00:00:00" maxDate="2022-12-28T00:00:00"/>
    </cacheField>
    <cacheField name="claim_type" numFmtId="0">
      <sharedItems containsBlank="1" count="6">
        <s v="Auto"/>
        <s v="Travel"/>
        <s v="Pet"/>
        <s v="Health"/>
        <s v="Life"/>
        <m/>
      </sharedItems>
    </cacheField>
    <cacheField name="claim_amount" numFmtId="0">
      <sharedItems containsBlank="1" containsMixedTypes="1" containsNumber="1" containsInteger="1" minValue="1" maxValue="2600"/>
    </cacheField>
    <cacheField name="city" numFmtId="0">
      <sharedItems containsBlank="1"/>
    </cacheField>
    <cacheField name="status" numFmtId="0">
      <sharedItems containsBlank="1"/>
    </cacheField>
    <cacheField name="Min Age" numFmtId="0">
      <sharedItems containsString="0" containsBlank="1" containsNumber="1" containsInteger="1" minValue="0" maxValue="55"/>
    </cacheField>
    <cacheField name="Ban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Tyler Hughes" refreshedDate="46286.159978935182" createdVersion="6" refreshedVersion="6" minRefreshableVersion="3" recordCount="198">
  <cacheSource type="worksheet">
    <worksheetSource ref="A1:K199" sheet="ClaimsData - Clean"/>
  </cacheSource>
  <cacheFields count="12">
    <cacheField name="claim_id" numFmtId="49">
      <sharedItems/>
    </cacheField>
    <cacheField name="customer_id" numFmtId="49">
      <sharedItems/>
    </cacheField>
    <cacheField name="customer_name" numFmtId="49">
      <sharedItems/>
    </cacheField>
    <cacheField name="Age Group" numFmtId="0">
      <sharedItems/>
    </cacheField>
    <cacheField name="age" numFmtId="2">
      <sharedItems containsSemiMixedTypes="0" containsString="0" containsNumber="1" containsInteger="1" minValue="5" maxValue="120"/>
    </cacheField>
    <cacheField name="gender" numFmtId="49">
      <sharedItems/>
    </cacheField>
    <cacheField name="claim_date" numFmtId="14">
      <sharedItems containsSemiMixedTypes="0" containsNonDate="0" containsDate="1" containsString="0" minDate="2022-01-05T00:00:00" maxDate="2022-12-28T00:00:00" count="96">
        <d v="2022-01-05T00:00:00"/>
        <d v="2022-01-15T00:00:00"/>
        <d v="2022-01-28T00:00:00"/>
        <d v="2022-02-09T00:00:00"/>
        <d v="2022-02-10T00:00:00"/>
        <d v="2022-02-14T00:00:00"/>
        <d v="2022-02-18T00:00:00"/>
        <d v="2022-03-01T00:00:00"/>
        <d v="2022-03-04T00:00:00"/>
        <d v="2022-03-09T00:00:00"/>
        <d v="2022-03-14T00:00:00"/>
        <d v="2022-03-16T00:00:00"/>
        <d v="2022-03-18T00:00:00"/>
        <d v="2022-03-22T00:00:00"/>
        <d v="2022-03-25T00:00:00"/>
        <d v="2022-03-28T00:00:00"/>
        <d v="2022-04-04T00:00:00"/>
        <d v="2022-04-06T00:00:00"/>
        <d v="2022-04-09T00:00:00"/>
        <d v="2022-04-10T00:00:00"/>
        <d v="2022-04-12T00:00:00"/>
        <d v="2022-04-15T00:00:00"/>
        <d v="2022-04-17T00:00:00"/>
        <d v="2022-04-18T00:00:00"/>
        <d v="2022-04-22T00:00:00"/>
        <d v="2022-04-26T00:00:00"/>
        <d v="2022-05-02T00:00:00"/>
        <d v="2022-05-03T00:00:00"/>
        <d v="2022-05-05T00:00:00"/>
        <d v="2022-05-07T00:00:00"/>
        <d v="2022-05-09T00:00:00"/>
        <d v="2022-05-11T00:00:00"/>
        <d v="2022-05-13T00:00:00"/>
        <d v="2022-05-18T00:00:00"/>
        <d v="2022-05-29T00:00:00"/>
        <d v="2022-06-02T00:00:00"/>
        <d v="2022-06-07T00:00:00"/>
        <d v="2022-06-11T00:00:00"/>
        <d v="2022-06-13T00:00:00"/>
        <d v="2022-06-14T00:00:00"/>
        <d v="2022-06-19T00:00:00"/>
        <d v="2022-06-20T00:00:00"/>
        <d v="2022-06-23T00:00:00"/>
        <d v="2022-06-26T00:00:00"/>
        <d v="2022-06-30T00:00:00"/>
        <d v="2022-07-01T00:00:00"/>
        <d v="2022-07-02T00:00:00"/>
        <d v="2022-07-05T00:00:00"/>
        <d v="2022-07-09T00:00:00"/>
        <d v="2022-07-11T00:00:00"/>
        <d v="2022-07-15T00:00:00"/>
        <d v="2022-07-18T00:00:00"/>
        <d v="2022-07-19T00:00:00"/>
        <d v="2022-07-28T00:00:00"/>
        <d v="2022-08-03T00:00:00"/>
        <d v="2022-08-04T00:00:00"/>
        <d v="2022-08-05T00:00:00"/>
        <d v="2022-08-07T00:00:00"/>
        <d v="2022-08-11T00:00:00"/>
        <d v="2022-08-14T00:00:00"/>
        <d v="2022-08-15T00:00:00"/>
        <d v="2022-08-19T00:00:00"/>
        <d v="2022-08-27T00:00:00"/>
        <d v="2022-09-01T00:00:00"/>
        <d v="2022-09-03T00:00:00"/>
        <d v="2022-09-08T00:00:00"/>
        <d v="2022-09-12T00:00:00"/>
        <d v="2022-09-14T00:00:00"/>
        <d v="2022-09-16T00:00:00"/>
        <d v="2022-09-18T00:00:00"/>
        <d v="2022-09-21T00:00:00"/>
        <d v="2022-09-27T00:00:00"/>
        <d v="2022-09-30T00:00:00"/>
        <d v="2022-10-01T00:00:00"/>
        <d v="2022-10-03T00:00:00"/>
        <d v="2022-10-05T00:00:00"/>
        <d v="2022-10-08T00:00:00"/>
        <d v="2022-10-12T00:00:00"/>
        <d v="2022-10-14T00:00:00"/>
        <d v="2022-10-18T00:00:00"/>
        <d v="2022-10-21T00:00:00"/>
        <d v="2022-10-29T00:00:00"/>
        <d v="2022-11-03T00:00:00"/>
        <d v="2022-11-05T00:00:00"/>
        <d v="2022-11-08T00:00:00"/>
        <d v="2022-11-14T00:00:00"/>
        <d v="2022-11-17T00:00:00"/>
        <d v="2022-11-19T00:00:00"/>
        <d v="2022-11-22T00:00:00"/>
        <d v="2022-11-25T00:00:00"/>
        <d v="2022-12-02T00:00:00"/>
        <d v="2022-12-03T00:00:00"/>
        <d v="2022-12-08T00:00:00"/>
        <d v="2022-12-11T00:00:00"/>
        <d v="2022-12-19T00:00:00"/>
        <d v="2022-12-27T00:00:00"/>
      </sharedItems>
      <fieldGroup par="11" base="6">
        <rangePr groupBy="days" startDate="2022-01-05T00:00:00" endDate="2022-12-28T00:00:00"/>
        <groupItems count="368">
          <s v="&lt;05/01/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/12/2022"/>
        </groupItems>
      </fieldGroup>
    </cacheField>
    <cacheField name="claim_type" numFmtId="49">
      <sharedItems count="5">
        <s v="Auto"/>
        <s v="Travel"/>
        <s v="Pet"/>
        <s v="Health"/>
        <s v="Life"/>
      </sharedItems>
    </cacheField>
    <cacheField name="claim_amount" numFmtId="49">
      <sharedItems containsMixedTypes="1" containsNumber="1" containsInteger="1" minValue="1" maxValue="2600"/>
    </cacheField>
    <cacheField name="city" numFmtId="0">
      <sharedItems count="5">
        <s v="London"/>
        <s v="Cardiff"/>
        <s v="Belfast"/>
        <s v="Dublin"/>
        <s v="Edinburgh"/>
      </sharedItems>
    </cacheField>
    <cacheField name="status" numFmtId="0">
      <sharedItems count="5">
        <s v="Approved"/>
        <s v="Pending"/>
        <s v="Closed"/>
        <s v="Under Review"/>
        <s v="Cancelled"/>
      </sharedItems>
    </cacheField>
    <cacheField name="Months" numFmtId="0" databaseField="0">
      <fieldGroup base="6">
        <rangePr groupBy="months" startDate="2022-01-05T00:00:00" endDate="2022-12-28T00:00:00"/>
        <groupItems count="14">
          <s v="&lt;05/0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/1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">
  <r>
    <s v="CLM-001"/>
    <s v="1001"/>
    <s v="John Smith"/>
    <x v="0"/>
    <n v="34"/>
    <s v="M"/>
    <d v="2022-01-05T00:00:00"/>
    <x v="0"/>
    <n v="1200"/>
    <s v="London"/>
    <s v="Approved"/>
    <n v="0"/>
    <s v="18-24"/>
  </r>
  <r>
    <s v="CLM-001"/>
    <s v="1001"/>
    <s v="John  Smith"/>
    <x v="0"/>
    <n v="34"/>
    <s v="M"/>
    <d v="2022-01-15T00:00:00"/>
    <x v="0"/>
    <s v="1200"/>
    <s v="London"/>
    <s v="Approved"/>
    <n v="25"/>
    <s v="25-34"/>
  </r>
  <r>
    <s v="CLM-002"/>
    <s v="1002"/>
    <s v="Sarah Jones"/>
    <x v="0"/>
    <n v="29"/>
    <s v="F"/>
    <d v="2022-01-15T00:00:00"/>
    <x v="1"/>
    <s v="800.5"/>
    <s v="Cardiff"/>
    <s v="Pending"/>
    <n v="35"/>
    <s v="35-44"/>
  </r>
  <r>
    <s v="CLM-003"/>
    <s v="1003"/>
    <s v="Michael Brown"/>
    <x v="1"/>
    <n v="45"/>
    <s v="M"/>
    <d v="2022-01-28T00:00:00"/>
    <x v="1"/>
    <n v="950"/>
    <s v="Cardiff"/>
    <s v="Pending"/>
    <n v="45"/>
    <s v="45-54"/>
  </r>
  <r>
    <s v="CLM-004"/>
    <s v="1004"/>
    <s v="Emily Davis"/>
    <x v="2"/>
    <n v="22"/>
    <s v="F"/>
    <d v="2022-01-28T00:00:00"/>
    <x v="2"/>
    <s v="300.00"/>
    <s v="Belfast"/>
    <s v="Closed"/>
    <n v="55"/>
    <s v="55+"/>
  </r>
  <r>
    <s v="CLM-005"/>
    <s v="1005"/>
    <s v="Chris O'Neil"/>
    <x v="1"/>
    <n v="52"/>
    <s v="M"/>
    <d v="2022-02-09T00:00:00"/>
    <x v="2"/>
    <n v="200"/>
    <s v="Belfast"/>
    <s v="Closed"/>
    <m/>
    <m/>
  </r>
  <r>
    <s v="CLM-006"/>
    <s v="1006"/>
    <s v="Amy   Wilson"/>
    <x v="3"/>
    <n v="120"/>
    <s v="F"/>
    <d v="2022-02-09T00:00:00"/>
    <x v="3"/>
    <n v="2500"/>
    <s v="Dublin"/>
    <s v="Under Review"/>
    <m/>
    <m/>
  </r>
  <r>
    <s v="CLM-007"/>
    <s v="1007"/>
    <s v="Robert Lee"/>
    <x v="2"/>
    <n v="5"/>
    <s v="M"/>
    <d v="2022-02-10T00:00:00"/>
    <x v="3"/>
    <s v="2500"/>
    <s v="Dublin"/>
    <s v="Under Review"/>
    <m/>
    <m/>
  </r>
  <r>
    <s v="CLM-008"/>
    <s v="1008"/>
    <s v="Jessica Taylor"/>
    <x v="4"/>
    <n v="38"/>
    <s v="F"/>
    <d v="2022-02-10T00:00:00"/>
    <x v="4"/>
    <s v="1000.00"/>
    <s v="Edinburgh"/>
    <s v="Cancelled"/>
    <m/>
    <m/>
  </r>
  <r>
    <s v="CLM-009"/>
    <s v="1009"/>
    <s v="Tom Harris"/>
    <x v="4"/>
    <n v="41"/>
    <s v="M"/>
    <d v="2022-02-14T00:00:00"/>
    <x v="4"/>
    <n v="1"/>
    <s v="Edinburgh"/>
    <s v="Cancelled"/>
    <m/>
    <m/>
  </r>
  <r>
    <s v="CLM-010"/>
    <s v="1010"/>
    <s v="Anna White"/>
    <x v="0"/>
    <n v="33"/>
    <s v="F"/>
    <d v="2022-02-14T00:00:00"/>
    <x v="0"/>
    <s v="900.00"/>
    <s v="London"/>
    <s v="Approved"/>
    <m/>
    <m/>
  </r>
  <r>
    <s v="CLM-011"/>
    <s v="1011"/>
    <s v="David King"/>
    <x v="1"/>
    <n v="47"/>
    <s v="M"/>
    <d v="2022-02-18T00:00:00"/>
    <x v="0"/>
    <n v="900"/>
    <s v="London"/>
    <s v="Approved"/>
    <m/>
    <m/>
  </r>
  <r>
    <s v="CLM-012"/>
    <s v="1012"/>
    <s v="Laura Green"/>
    <x v="0"/>
    <n v="28"/>
    <s v="F"/>
    <d v="2022-02-18T00:00:00"/>
    <x v="1"/>
    <s v="700.00"/>
    <s v="Cardiff"/>
    <s v="Pending"/>
    <m/>
    <m/>
  </r>
  <r>
    <s v="CLM-013"/>
    <s v="1013"/>
    <s v="Peter Parker"/>
    <x v="4"/>
    <n v="36"/>
    <s v="M"/>
    <d v="2022-03-01T00:00:00"/>
    <x v="1"/>
    <s v="700"/>
    <s v="Cardiff"/>
    <s v="Pending"/>
    <m/>
    <m/>
  </r>
  <r>
    <s v="CLM-015"/>
    <s v="1015"/>
    <s v="Daniel Craig"/>
    <x v="3"/>
    <n v="55"/>
    <s v="M"/>
    <d v="2022-03-01T00:00:00"/>
    <x v="2"/>
    <s v="450"/>
    <s v="Belfast"/>
    <s v="Closed"/>
    <m/>
    <m/>
  </r>
  <r>
    <s v="CLM-016"/>
    <s v="1016"/>
    <s v="Lucy Hale"/>
    <x v="0"/>
    <n v="27"/>
    <s v="F"/>
    <d v="2022-03-01T00:00:00"/>
    <x v="3"/>
    <s v="2000.00"/>
    <s v="Dublin"/>
    <s v="Under Review"/>
    <m/>
    <m/>
  </r>
  <r>
    <s v="CLM-017"/>
    <s v="1017"/>
    <s v="Mark Wood"/>
    <x v="4"/>
    <n v="39"/>
    <s v="M"/>
    <d v="2022-03-01T00:00:00"/>
    <x v="3"/>
    <n v="2000"/>
    <s v="Dublin"/>
    <s v="Under Review"/>
    <m/>
    <m/>
  </r>
  <r>
    <s v="CLM-018"/>
    <s v="1018"/>
    <s v="Karen Black"/>
    <x v="4"/>
    <n v="44"/>
    <s v="F"/>
    <d v="2022-03-04T00:00:00"/>
    <x v="4"/>
    <s v="1500.00"/>
    <s v="Edinburgh"/>
    <s v="Cancelled"/>
    <m/>
    <m/>
  </r>
  <r>
    <s v="CLM-019"/>
    <s v="1019"/>
    <s v="Sam Carter"/>
    <x v="1"/>
    <n v="48"/>
    <s v="M"/>
    <d v="2022-03-04T00:00:00"/>
    <x v="4"/>
    <n v="1500"/>
    <s v="Edinburgh"/>
    <s v="Cancelled"/>
    <m/>
    <m/>
  </r>
  <r>
    <s v="CLM-020"/>
    <s v="1020"/>
    <s v="Olivia Stone"/>
    <x v="0"/>
    <n v="32"/>
    <s v="F"/>
    <d v="2022-03-09T00:00:00"/>
    <x v="0"/>
    <s v="1000.00"/>
    <s v="London"/>
    <s v="Approved"/>
    <m/>
    <m/>
  </r>
  <r>
    <s v="CLM-021"/>
    <s v="1021"/>
    <s v="Liam Turner"/>
    <x v="4"/>
    <n v="37"/>
    <s v="M"/>
    <d v="2022-03-09T00:00:00"/>
    <x v="0"/>
    <n v="1300"/>
    <s v="London"/>
    <s v="Approved"/>
    <m/>
    <m/>
  </r>
  <r>
    <s v="CLM-022"/>
    <s v="1022"/>
    <s v="Sophie Adams"/>
    <x v="0"/>
    <n v="26"/>
    <s v="F"/>
    <d v="2022-03-14T00:00:00"/>
    <x v="0"/>
    <s v="1300"/>
    <s v="London"/>
    <s v="Approved"/>
    <m/>
    <m/>
  </r>
  <r>
    <s v="CLM-023"/>
    <s v="1023"/>
    <s v="George Hill"/>
    <x v="4"/>
    <n v="42"/>
    <s v="M"/>
    <d v="2022-03-14T00:00:00"/>
    <x v="1"/>
    <s v="900.00"/>
    <s v="Cardiff"/>
    <s v="Pending"/>
    <m/>
    <m/>
  </r>
  <r>
    <s v="CLM-024"/>
    <s v="1024"/>
    <s v="Natalie Cook"/>
    <x v="0"/>
    <n v="31"/>
    <s v="F"/>
    <d v="2022-03-16T00:00:00"/>
    <x v="1"/>
    <n v="900"/>
    <s v="Cardiff"/>
    <s v="Pending"/>
    <m/>
    <m/>
  </r>
  <r>
    <s v="CLM-025"/>
    <s v="1025"/>
    <s v="Harry Scott"/>
    <x v="1"/>
    <n v="50"/>
    <s v="M"/>
    <d v="2022-03-16T00:00:00"/>
    <x v="2"/>
    <s v="250.00"/>
    <s v="Belfast"/>
    <s v="Closed"/>
    <m/>
    <m/>
  </r>
  <r>
    <s v="CLM-026"/>
    <s v="1026"/>
    <s v="Chloe Price"/>
    <x v="1"/>
    <n v="47"/>
    <s v="F"/>
    <d v="2022-03-18T00:00:00"/>
    <x v="2"/>
    <n v="250"/>
    <s v="Belfast"/>
    <s v="Closed"/>
    <m/>
    <m/>
  </r>
  <r>
    <s v="CLM-027"/>
    <s v="1027"/>
    <s v="Jack Morris"/>
    <x v="4"/>
    <n v="39"/>
    <s v="M"/>
    <d v="2022-03-18T00:00:00"/>
    <x v="3"/>
    <s v="1800.00"/>
    <s v="Dublin"/>
    <s v="Under Review"/>
    <m/>
    <m/>
  </r>
  <r>
    <s v="CLM-028"/>
    <s v="1028"/>
    <s v="Emma Carter"/>
    <x v="0"/>
    <n v="33"/>
    <s v="F"/>
    <d v="2022-03-22T00:00:00"/>
    <x v="3"/>
    <s v="1800"/>
    <s v="Dublin"/>
    <s v="Under Review"/>
    <m/>
    <m/>
  </r>
  <r>
    <s v="CLM-029"/>
    <s v="1029"/>
    <s v="Noah Bennett"/>
    <x v="1"/>
    <n v="45"/>
    <s v="M"/>
    <d v="2022-03-22T00:00:00"/>
    <x v="4"/>
    <s v="1600.00"/>
    <s v="Edinburgh"/>
    <s v="Cancelled"/>
    <m/>
    <m/>
  </r>
  <r>
    <s v="CLM-030"/>
    <s v="1030"/>
    <s v="Ava Mitchell"/>
    <x v="4"/>
    <n v="41"/>
    <s v="F"/>
    <d v="2022-03-22T00:00:00"/>
    <x v="4"/>
    <n v="1600"/>
    <s v="Edinburgh"/>
    <s v="Cancelled"/>
    <m/>
    <m/>
  </r>
  <r>
    <s v="CLM-031"/>
    <s v="1031"/>
    <s v="Oliver Reed"/>
    <x v="4"/>
    <n v="36"/>
    <s v="M"/>
    <d v="2022-03-22T00:00:00"/>
    <x v="0"/>
    <s v="850.00"/>
    <s v="London"/>
    <s v="Approved"/>
    <m/>
    <m/>
  </r>
  <r>
    <s v="CLM-032"/>
    <s v="1032"/>
    <s v="Mia Foster"/>
    <x v="0"/>
    <n v="29"/>
    <s v="F"/>
    <d v="2022-03-25T00:00:00"/>
    <x v="0"/>
    <n v="850"/>
    <s v="London"/>
    <s v="Approved"/>
    <m/>
    <m/>
  </r>
  <r>
    <s v="CLM-033"/>
    <s v="1033"/>
    <s v="Lucas Gray"/>
    <x v="1"/>
    <n v="52"/>
    <s v="M"/>
    <d v="2022-03-25T00:00:00"/>
    <x v="1"/>
    <s v="780.00"/>
    <s v="Cardiff"/>
    <s v="Pending"/>
    <m/>
    <m/>
  </r>
  <r>
    <s v="CLM-034"/>
    <s v="1034"/>
    <s v="Grace Kelly"/>
    <x v="1"/>
    <n v="48"/>
    <s v="F"/>
    <d v="2022-03-28T00:00:00"/>
    <x v="1"/>
    <s v="780"/>
    <s v="Cardiff"/>
    <s v="Pending"/>
    <m/>
    <m/>
  </r>
  <r>
    <s v="CLM-035"/>
    <s v="1035"/>
    <s v="Ethan Ward"/>
    <x v="0"/>
    <n v="34"/>
    <s v="M"/>
    <d v="2022-03-28T00:00:00"/>
    <x v="2"/>
    <s v="500.00"/>
    <s v="Belfast"/>
    <s v="Closed"/>
    <m/>
    <m/>
  </r>
  <r>
    <s v="CLM-036"/>
    <s v="1036"/>
    <s v="Lily Howard"/>
    <x v="0"/>
    <n v="32"/>
    <s v="F"/>
    <d v="2022-04-04T00:00:00"/>
    <x v="2"/>
    <n v="500"/>
    <s v="Belfast"/>
    <s v="Closed"/>
    <m/>
    <m/>
  </r>
  <r>
    <s v="CLM-037"/>
    <s v="1037"/>
    <s v="Jacob Evans"/>
    <x v="0"/>
    <n v="28"/>
    <s v="M"/>
    <d v="2022-04-04T00:00:00"/>
    <x v="3"/>
    <s v="2100.00"/>
    <s v="Dublin"/>
    <s v="Under Review"/>
    <m/>
    <m/>
  </r>
  <r>
    <s v="CLM-038"/>
    <s v="1038"/>
    <s v="Isabella Young"/>
    <x v="0"/>
    <n v="27"/>
    <s v="F"/>
    <d v="2022-04-06T00:00:00"/>
    <x v="3"/>
    <n v="2100"/>
    <s v="Dublin"/>
    <s v="Under Review"/>
    <m/>
    <m/>
  </r>
  <r>
    <s v="CLM-039"/>
    <s v="1039"/>
    <s v="William Brooks"/>
    <x v="1"/>
    <n v="49"/>
    <s v="M"/>
    <d v="2022-04-06T00:00:00"/>
    <x v="4"/>
    <s v="1400.00"/>
    <s v="Edinburgh"/>
    <s v="Cancelled"/>
    <m/>
    <m/>
  </r>
  <r>
    <s v="CLM-040"/>
    <s v="1040"/>
    <s v="Emily Ward"/>
    <x v="1"/>
    <n v="46"/>
    <s v="F"/>
    <d v="2022-04-09T00:00:00"/>
    <x v="4"/>
    <s v="1400"/>
    <s v="Edinburgh"/>
    <s v="Cancelled"/>
    <m/>
    <m/>
  </r>
  <r>
    <s v="CLM-041"/>
    <s v="1041"/>
    <s v="James Nolan"/>
    <x v="4"/>
    <n v="38"/>
    <s v="M"/>
    <d v="2022-04-10T00:00:00"/>
    <x v="0"/>
    <n v="1250"/>
    <s v="London"/>
    <s v="Approved"/>
    <m/>
    <m/>
  </r>
  <r>
    <s v="CLM-042"/>
    <s v="1042"/>
    <s v="Hannah Doyle"/>
    <x v="4"/>
    <n v="35"/>
    <s v="F"/>
    <d v="2022-04-10T00:00:00"/>
    <x v="0"/>
    <s v="1250"/>
    <s v="London"/>
    <s v="Approved"/>
    <m/>
    <m/>
  </r>
  <r>
    <s v="CLM-043"/>
    <s v="1043"/>
    <s v="Patrick Byrne"/>
    <x v="4"/>
    <n v="44"/>
    <s v="M"/>
    <d v="2022-04-12T00:00:00"/>
    <x v="1"/>
    <s v="880.00"/>
    <s v="Cardiff"/>
    <s v="Pending"/>
    <m/>
    <m/>
  </r>
  <r>
    <s v="CLM-044"/>
    <s v="1044"/>
    <s v="Rebecca Shaw"/>
    <x v="0"/>
    <n v="33"/>
    <s v="F"/>
    <d v="2022-04-12T00:00:00"/>
    <x v="1"/>
    <n v="880"/>
    <s v="Cardiff"/>
    <s v="Pending"/>
    <m/>
    <m/>
  </r>
  <r>
    <s v="CLM-045"/>
    <s v="1045"/>
    <s v="Declan Reid"/>
    <x v="1"/>
    <n v="51"/>
    <s v="M"/>
    <d v="2022-04-15T00:00:00"/>
    <x v="2"/>
    <s v="275.00"/>
    <s v="Belfast"/>
    <s v="Closed"/>
    <m/>
    <m/>
  </r>
  <r>
    <s v="CLM-046"/>
    <s v="1046"/>
    <s v="Amber Flynn"/>
    <x v="1"/>
    <n v="49"/>
    <s v="F"/>
    <d v="2022-04-15T00:00:00"/>
    <x v="2"/>
    <n v="275"/>
    <s v="Belfast"/>
    <s v="Closed"/>
    <m/>
    <m/>
  </r>
  <r>
    <s v="CLM-047"/>
    <s v="1047"/>
    <s v="Shane Murphy"/>
    <x v="0"/>
    <n v="29"/>
    <s v="M"/>
    <d v="2022-04-17T00:00:00"/>
    <x v="3"/>
    <s v="1950.00"/>
    <s v="Dublin"/>
    <s v="Under Review"/>
    <m/>
    <m/>
  </r>
  <r>
    <s v="CLM-048"/>
    <s v="1048"/>
    <s v="Paige Turner"/>
    <x v="0"/>
    <n v="28"/>
    <s v="F"/>
    <d v="2022-04-17T00:00:00"/>
    <x v="3"/>
    <n v="1950"/>
    <s v="Dublin"/>
    <s v="Under Review"/>
    <m/>
    <m/>
  </r>
  <r>
    <s v="CLM-049"/>
    <s v="1049"/>
    <s v="Connor Walsh"/>
    <x v="1"/>
    <n v="46"/>
    <s v="M"/>
    <d v="2022-04-18T00:00:00"/>
    <x v="4"/>
    <s v="1700.00"/>
    <s v="Edinburgh"/>
    <s v="Cancelled"/>
    <m/>
    <m/>
  </r>
  <r>
    <s v="CLM-050"/>
    <s v="1050"/>
    <s v="Julia Burns"/>
    <x v="4"/>
    <n v="43"/>
    <s v="F"/>
    <d v="2022-04-18T00:00:00"/>
    <x v="4"/>
    <n v="1700"/>
    <s v="Edinburgh"/>
    <s v="Cancelled"/>
    <m/>
    <m/>
  </r>
  <r>
    <s v="CLM-051"/>
    <s v="1051"/>
    <s v="Adam Clarke"/>
    <x v="4"/>
    <n v="37"/>
    <s v="M"/>
    <d v="2022-04-22T00:00:00"/>
    <x v="0"/>
    <s v="820.00"/>
    <s v="London"/>
    <s v="Approved"/>
    <m/>
    <m/>
  </r>
  <r>
    <s v="CLM-052"/>
    <s v="1052"/>
    <s v="Chloe Martin"/>
    <x v="0"/>
    <n v="31"/>
    <s v="F"/>
    <d v="2022-04-22T00:00:00"/>
    <x v="0"/>
    <n v="820"/>
    <s v="London"/>
    <s v="Approved"/>
    <m/>
    <m/>
  </r>
  <r>
    <s v="CLM-053"/>
    <s v="1053"/>
    <s v="Jason Kelly"/>
    <x v="1"/>
    <n v="53"/>
    <s v="M"/>
    <d v="2022-04-26T00:00:00"/>
    <x v="1"/>
    <s v="760.00"/>
    <s v="Cardiff"/>
    <s v="Pending"/>
    <m/>
    <m/>
  </r>
  <r>
    <s v="CLM-054"/>
    <s v="1054"/>
    <s v="Freya Hughes"/>
    <x v="1"/>
    <n v="47"/>
    <s v="F"/>
    <d v="2022-04-26T00:00:00"/>
    <x v="1"/>
    <s v="760"/>
    <s v="Cardiff"/>
    <s v="Pending"/>
    <m/>
    <m/>
  </r>
  <r>
    <s v="CLM-055"/>
    <s v="1055"/>
    <s v="Callum Price"/>
    <x v="0"/>
    <n v="33"/>
    <s v="M"/>
    <d v="2022-05-02T00:00:00"/>
    <x v="2"/>
    <s v="480.00"/>
    <s v="Belfast"/>
    <s v="Closed"/>
    <m/>
    <m/>
  </r>
  <r>
    <s v="CLM-056"/>
    <s v="1056"/>
    <s v="Isla Cooper"/>
    <x v="0"/>
    <n v="30"/>
    <s v="F"/>
    <d v="2022-05-02T00:00:00"/>
    <x v="2"/>
    <n v="480"/>
    <s v="Belfast"/>
    <s v="Closed"/>
    <m/>
    <m/>
  </r>
  <r>
    <s v="CLM-057"/>
    <s v="1057"/>
    <s v="Leo Barker"/>
    <x v="0"/>
    <n v="26"/>
    <s v="M"/>
    <d v="2022-05-03T00:00:00"/>
    <x v="3"/>
    <s v="2200.00"/>
    <s v="Dublin"/>
    <s v="Under Review"/>
    <m/>
    <m/>
  </r>
  <r>
    <s v="CLM-058"/>
    <s v="1058"/>
    <s v="Harriet Owen"/>
    <x v="0"/>
    <n v="25"/>
    <s v="F"/>
    <d v="2022-05-03T00:00:00"/>
    <x v="3"/>
    <n v="2200"/>
    <s v="Dublin"/>
    <s v="Under Review"/>
    <m/>
    <m/>
  </r>
  <r>
    <s v="CLM-059"/>
    <s v="1059"/>
    <s v="Ryan Fraser"/>
    <x v="1"/>
    <n v="50"/>
    <s v="M"/>
    <d v="2022-05-05T00:00:00"/>
    <x v="4"/>
    <s v="1550.00"/>
    <s v="Edinburgh"/>
    <s v="Cancelled"/>
    <m/>
    <m/>
  </r>
  <r>
    <s v="CLM-060"/>
    <s v="1060"/>
    <s v="Sienna Boyd"/>
    <x v="1"/>
    <n v="48"/>
    <s v="F"/>
    <d v="2022-05-05T00:00:00"/>
    <x v="4"/>
    <n v="1550"/>
    <s v="Edinburgh"/>
    <s v="Cancelled"/>
    <m/>
    <m/>
  </r>
  <r>
    <s v="CLM-061"/>
    <s v="1061"/>
    <s v="Harvey Mills"/>
    <x v="4"/>
    <n v="40"/>
    <s v="M"/>
    <d v="2022-05-07T00:00:00"/>
    <x v="0"/>
    <n v="1280"/>
    <s v="London"/>
    <s v="Approved"/>
    <m/>
    <m/>
  </r>
  <r>
    <s v="CLM-062"/>
    <s v="1062"/>
    <s v="Eleanor Shaw"/>
    <x v="4"/>
    <n v="36"/>
    <s v="F"/>
    <d v="2022-05-07T00:00:00"/>
    <x v="0"/>
    <s v="1280"/>
    <s v="London"/>
    <s v="Approved"/>
    <m/>
    <m/>
  </r>
  <r>
    <s v="CLM-063"/>
    <s v="1063"/>
    <s v="Brandon Cole"/>
    <x v="4"/>
    <n v="43"/>
    <s v="M"/>
    <d v="2022-05-09T00:00:00"/>
    <x v="1"/>
    <s v="910.00"/>
    <s v="Cardiff"/>
    <s v="Pending"/>
    <m/>
    <m/>
  </r>
  <r>
    <s v="CLM-064"/>
    <s v="1064"/>
    <s v="Abigail Hunt"/>
    <x v="0"/>
    <n v="32"/>
    <s v="F"/>
    <d v="2022-05-09T00:00:00"/>
    <x v="1"/>
    <n v="910"/>
    <s v="Cardiff"/>
    <s v="Pending"/>
    <m/>
    <m/>
  </r>
  <r>
    <s v="CLM-065"/>
    <s v="1065"/>
    <s v="Stuart Kemp"/>
    <x v="1"/>
    <n v="54"/>
    <s v="M"/>
    <d v="2022-05-11T00:00:00"/>
    <x v="2"/>
    <s v="260.00"/>
    <s v="Belfast"/>
    <s v="Closed"/>
    <m/>
    <m/>
  </r>
  <r>
    <s v="CLM-066"/>
    <s v="1066"/>
    <s v="Georgia Lane"/>
    <x v="1"/>
    <n v="52"/>
    <s v="F"/>
    <d v="2022-05-11T00:00:00"/>
    <x v="2"/>
    <n v="260"/>
    <s v="Belfast"/>
    <s v="Closed"/>
    <m/>
    <m/>
  </r>
  <r>
    <s v="CLM-067"/>
    <s v="1067"/>
    <s v="Marcus Doyle"/>
    <x v="0"/>
    <n v="30"/>
    <s v="M"/>
    <d v="2022-05-11T00:00:00"/>
    <x v="3"/>
    <s v="1850.00"/>
    <s v="Dublin"/>
    <s v="Under Review"/>
    <m/>
    <m/>
  </r>
  <r>
    <s v="CLM-068"/>
    <s v="1068"/>
    <s v="Faith Morgan"/>
    <x v="0"/>
    <n v="29"/>
    <s v="F"/>
    <d v="2022-05-11T00:00:00"/>
    <x v="3"/>
    <n v="1850"/>
    <s v="Dublin"/>
    <s v="Under Review"/>
    <m/>
    <m/>
  </r>
  <r>
    <s v="CLM-069"/>
    <s v="1069"/>
    <s v="Shannon Reid"/>
    <x v="1"/>
    <n v="47"/>
    <s v="F"/>
    <d v="2022-05-11T00:00:00"/>
    <x v="4"/>
    <s v="1650.00"/>
    <s v="Edinburgh"/>
    <s v="Cancelled"/>
    <m/>
    <m/>
  </r>
  <r>
    <s v="CLM-070"/>
    <s v="1070"/>
    <s v="Tyler Grant"/>
    <x v="1"/>
    <n v="45"/>
    <s v="M"/>
    <d v="2022-05-13T00:00:00"/>
    <x v="4"/>
    <n v="1650"/>
    <s v="Edinburgh"/>
    <s v="Cancelled"/>
    <m/>
    <m/>
  </r>
  <r>
    <s v="CLM-071"/>
    <s v="1071"/>
    <s v="Jordan Blake"/>
    <x v="4"/>
    <n v="38"/>
    <s v="M"/>
    <d v="2022-05-13T00:00:00"/>
    <x v="0"/>
    <s v="830.00"/>
    <s v="London"/>
    <s v="Approved"/>
    <m/>
    <m/>
  </r>
  <r>
    <s v="CLM-072"/>
    <s v="1072"/>
    <s v="Amelia Cross"/>
    <x v="0"/>
    <n v="34"/>
    <s v="F"/>
    <d v="2022-05-18T00:00:00"/>
    <x v="0"/>
    <n v="830"/>
    <s v="London"/>
    <s v="Approved"/>
    <m/>
    <m/>
  </r>
  <r>
    <s v="CLM-073"/>
    <s v="1073"/>
    <s v="Reece Turner"/>
    <x v="3"/>
    <n v="55"/>
    <s v="M"/>
    <d v="2022-05-18T00:00:00"/>
    <x v="1"/>
    <s v="770.00"/>
    <s v="Cardiff"/>
    <s v="Pending"/>
    <m/>
    <m/>
  </r>
  <r>
    <s v="CLM-074"/>
    <s v="1074"/>
    <s v="Nina Barrett"/>
    <x v="1"/>
    <n v="50"/>
    <s v="F"/>
    <d v="2022-05-29T00:00:00"/>
    <x v="1"/>
    <s v="770"/>
    <s v="Cardiff"/>
    <s v="Pending"/>
    <m/>
    <m/>
  </r>
  <r>
    <s v="CLM-075"/>
    <s v="1075"/>
    <s v="Calvin Moss"/>
    <x v="4"/>
    <n v="35"/>
    <s v="M"/>
    <d v="2022-05-29T00:00:00"/>
    <x v="2"/>
    <s v="490.00"/>
    <s v="Belfast"/>
    <s v="Closed"/>
    <m/>
    <m/>
  </r>
  <r>
    <s v="CLM-076"/>
    <s v="1076"/>
    <s v="Amber Ellis"/>
    <x v="0"/>
    <n v="33"/>
    <s v="F"/>
    <d v="2022-06-02T00:00:00"/>
    <x v="2"/>
    <n v="490"/>
    <s v="Belfast"/>
    <s v="Closed"/>
    <m/>
    <m/>
  </r>
  <r>
    <s v="CLM-077"/>
    <s v="1077"/>
    <s v="Joel Fraser"/>
    <x v="0"/>
    <n v="27"/>
    <s v="M"/>
    <d v="2022-06-02T00:00:00"/>
    <x v="3"/>
    <s v="2300.00"/>
    <s v="Dublin"/>
    <s v="Under Review"/>
    <m/>
    <m/>
  </r>
  <r>
    <s v="CLM-078"/>
    <s v="1078"/>
    <s v="Clara Jennings"/>
    <x v="0"/>
    <n v="26"/>
    <s v="F"/>
    <d v="2022-06-07T00:00:00"/>
    <x v="3"/>
    <n v="2300"/>
    <s v="Dublin"/>
    <s v="Under Review"/>
    <m/>
    <m/>
  </r>
  <r>
    <s v="CLM-079"/>
    <s v="1079"/>
    <s v="Martin Doyle"/>
    <x v="1"/>
    <n v="51"/>
    <s v="M"/>
    <d v="2022-06-07T00:00:00"/>
    <x v="4"/>
    <s v="1450.00"/>
    <s v="Edinburgh"/>
    <s v="Cancelled"/>
    <m/>
    <m/>
  </r>
  <r>
    <s v="CLM-080"/>
    <s v="1080"/>
    <s v="Rebecca Lowe"/>
    <x v="1"/>
    <n v="49"/>
    <s v="F"/>
    <d v="2022-06-11T00:00:00"/>
    <x v="4"/>
    <n v="1450"/>
    <s v="Edinburgh"/>
    <s v="Cancelled"/>
    <m/>
    <m/>
  </r>
  <r>
    <s v="CLM-081"/>
    <s v="1081"/>
    <s v="Daniel Moore"/>
    <x v="4"/>
    <n v="39"/>
    <s v="M"/>
    <d v="2022-06-11T00:00:00"/>
    <x v="0"/>
    <n v="1310"/>
    <s v="London"/>
    <s v="Approved"/>
    <m/>
    <m/>
  </r>
  <r>
    <s v="CLM-082"/>
    <s v="1082"/>
    <s v="Sarah Patel"/>
    <x v="4"/>
    <n v="36"/>
    <s v="F"/>
    <d v="2022-06-13T00:00:00"/>
    <x v="0"/>
    <s v="1310"/>
    <s v="London"/>
    <s v="Approved"/>
    <m/>
    <m/>
  </r>
  <r>
    <s v="CLM-083"/>
    <s v="1083"/>
    <s v="Anthony Wells"/>
    <x v="4"/>
    <n v="44"/>
    <s v="M"/>
    <d v="2022-06-13T00:00:00"/>
    <x v="1"/>
    <s v="920.00"/>
    <s v="Cardiff"/>
    <s v="Pending"/>
    <m/>
    <m/>
  </r>
  <r>
    <s v="CLM-084"/>
    <s v="1084"/>
    <s v="Lucy Hammond"/>
    <x v="0"/>
    <n v="33"/>
    <s v="F"/>
    <d v="2022-06-14T00:00:00"/>
    <x v="1"/>
    <n v="920"/>
    <s v="Cardiff"/>
    <s v="Pending"/>
    <m/>
    <m/>
  </r>
  <r>
    <s v="CLM-085"/>
    <s v="1085"/>
    <s v="Paul Gibson"/>
    <x v="3"/>
    <n v="55"/>
    <s v="M"/>
    <d v="2022-06-14T00:00:00"/>
    <x v="2"/>
    <s v="265.00"/>
    <s v="Belfast"/>
    <s v="Closed"/>
    <m/>
    <m/>
  </r>
  <r>
    <s v="CLM-086"/>
    <s v="1086"/>
    <s v="Holly Barrett"/>
    <x v="1"/>
    <n v="53"/>
    <s v="F"/>
    <d v="2022-06-19T00:00:00"/>
    <x v="2"/>
    <n v="265"/>
    <s v="Belfast"/>
    <s v="Closed"/>
    <m/>
    <m/>
  </r>
  <r>
    <s v="CLM-087"/>
    <s v="1087"/>
    <s v="Stacey Quinn"/>
    <x v="0"/>
    <n v="31"/>
    <s v="F"/>
    <d v="2022-06-19T00:00:00"/>
    <x v="3"/>
    <s v="1900.00"/>
    <s v="Dublin"/>
    <s v="Under Review"/>
    <m/>
    <m/>
  </r>
  <r>
    <s v="CLM-088"/>
    <s v="1088"/>
    <s v="Jamie Foster"/>
    <x v="0"/>
    <n v="29"/>
    <s v="M"/>
    <d v="2022-06-20T00:00:00"/>
    <x v="3"/>
    <n v="1900"/>
    <s v="Dublin"/>
    <s v="Under Review"/>
    <m/>
    <m/>
  </r>
  <r>
    <s v="CLM-089"/>
    <s v="1089"/>
    <s v="Oliver Payne"/>
    <x v="1"/>
    <n v="48"/>
    <s v="M"/>
    <d v="2022-06-20T00:00:00"/>
    <x v="4"/>
    <s v="1680.00"/>
    <s v="Edinburgh"/>
    <s v="Cancelled"/>
    <m/>
    <m/>
  </r>
  <r>
    <s v="CLM-090"/>
    <s v="1090"/>
    <s v="Charlotte Dean"/>
    <x v="1"/>
    <n v="46"/>
    <s v="F"/>
    <d v="2022-06-23T00:00:00"/>
    <x v="4"/>
    <n v="1680"/>
    <s v="Edinburgh"/>
    <s v="Cancelled"/>
    <m/>
    <m/>
  </r>
  <r>
    <s v="CLM-091"/>
    <s v="1091"/>
    <s v="Henry Walsh"/>
    <x v="4"/>
    <n v="37"/>
    <s v="M"/>
    <d v="2022-06-23T00:00:00"/>
    <x v="0"/>
    <s v="840.00"/>
    <s v="London"/>
    <s v="Approved"/>
    <m/>
    <m/>
  </r>
  <r>
    <s v="CLM-092"/>
    <s v="1092"/>
    <s v="Emily Fraser"/>
    <x v="0"/>
    <n v="34"/>
    <s v="F"/>
    <d v="2022-06-26T00:00:00"/>
    <x v="0"/>
    <n v="840"/>
    <s v="London"/>
    <s v="Approved"/>
    <m/>
    <m/>
  </r>
  <r>
    <s v="CLM-093"/>
    <s v="1093"/>
    <s v="Leon Carter"/>
    <x v="3"/>
    <n v="56"/>
    <s v="M"/>
    <d v="2022-06-26T00:00:00"/>
    <x v="1"/>
    <s v="780.00"/>
    <s v="Cardiff"/>
    <s v="Pending"/>
    <m/>
    <m/>
  </r>
  <r>
    <s v="CLM-094"/>
    <s v="1094"/>
    <s v="Grace Nolan"/>
    <x v="1"/>
    <n v="51"/>
    <s v="F"/>
    <d v="2022-06-30T00:00:00"/>
    <x v="1"/>
    <s v="780"/>
    <s v="Cardiff"/>
    <s v="Pending"/>
    <m/>
    <m/>
  </r>
  <r>
    <s v="CLM-095"/>
    <s v="1095"/>
    <s v="Marcus Boyd"/>
    <x v="4"/>
    <n v="36"/>
    <s v="M"/>
    <d v="2022-06-30T00:00:00"/>
    <x v="2"/>
    <s v="495.00"/>
    <s v="Belfast"/>
    <s v="Closed"/>
    <m/>
    <m/>
  </r>
  <r>
    <s v="CLM-096"/>
    <s v="1096"/>
    <s v="Abbie Lowe"/>
    <x v="0"/>
    <n v="33"/>
    <s v="F"/>
    <d v="2022-07-01T00:00:00"/>
    <x v="2"/>
    <n v="495"/>
    <s v="Belfast"/>
    <s v="Closed"/>
    <m/>
    <m/>
  </r>
  <r>
    <s v="CLM-097"/>
    <s v="1097"/>
    <s v="Sean Turner"/>
    <x v="0"/>
    <n v="28"/>
    <s v="M"/>
    <d v="2022-07-01T00:00:00"/>
    <x v="3"/>
    <s v="2350.00"/>
    <s v="Dublin"/>
    <s v="Under Review"/>
    <m/>
    <m/>
  </r>
  <r>
    <s v="CLM-098"/>
    <s v="1098"/>
    <s v="Chloe Jennings"/>
    <x v="0"/>
    <n v="27"/>
    <s v="F"/>
    <d v="2022-07-02T00:00:00"/>
    <x v="3"/>
    <n v="2350"/>
    <s v="Dublin"/>
    <s v="Under Review"/>
    <m/>
    <m/>
  </r>
  <r>
    <s v="CLM-099"/>
    <s v="1099"/>
    <s v="Martin Shaw"/>
    <x v="1"/>
    <n v="52"/>
    <s v="M"/>
    <d v="2022-07-02T00:00:00"/>
    <x v="4"/>
    <s v="1500.00"/>
    <s v="Edinburgh"/>
    <s v="Cancelled"/>
    <m/>
    <m/>
  </r>
  <r>
    <s v="CLM-100"/>
    <s v="1100"/>
    <s v="Rebecca Flynn"/>
    <x v="1"/>
    <n v="49"/>
    <s v="F"/>
    <d v="2022-07-05T00:00:00"/>
    <x v="4"/>
    <n v="1500"/>
    <s v="Edinburgh"/>
    <s v="Cancelled"/>
    <m/>
    <m/>
  </r>
  <r>
    <s v="CLM-101"/>
    <s v="1101"/>
    <s v="Daniel Harris"/>
    <x v="4"/>
    <n v="40"/>
    <s v="M"/>
    <d v="2022-07-05T00:00:00"/>
    <x v="0"/>
    <n v="1320"/>
    <s v="London"/>
    <s v="Approved"/>
    <m/>
    <m/>
  </r>
  <r>
    <s v="CLM-102"/>
    <s v="1102"/>
    <s v="Sophie Turner"/>
    <x v="4"/>
    <n v="37"/>
    <s v="F"/>
    <d v="2022-07-09T00:00:00"/>
    <x v="0"/>
    <s v="1320"/>
    <s v="London"/>
    <s v="Approved"/>
    <m/>
    <m/>
  </r>
  <r>
    <s v="CLM-103"/>
    <s v="1103"/>
    <s v="Patrick Lewis"/>
    <x v="1"/>
    <n v="45"/>
    <s v="M"/>
    <d v="2022-07-09T00:00:00"/>
    <x v="1"/>
    <s v="930.00"/>
    <s v="Cardiff"/>
    <s v="Pending"/>
    <m/>
    <m/>
  </r>
  <r>
    <s v="CLM-104"/>
    <s v="1104"/>
    <s v="Emily Walsh"/>
    <x v="0"/>
    <n v="34"/>
    <s v="F"/>
    <d v="2022-07-09T00:00:00"/>
    <x v="1"/>
    <n v="930"/>
    <s v="Cardiff"/>
    <s v="Pending"/>
    <m/>
    <m/>
  </r>
  <r>
    <s v="CLM-105"/>
    <s v="1105"/>
    <s v="Shane Cooper"/>
    <x v="3"/>
    <n v="56"/>
    <s v="M"/>
    <d v="2022-07-09T00:00:00"/>
    <x v="2"/>
    <s v="270.00"/>
    <s v="Belfast"/>
    <s v="Closed"/>
    <m/>
    <m/>
  </r>
  <r>
    <s v="CLM-106"/>
    <s v="1106"/>
    <s v="Georgia Adams"/>
    <x v="1"/>
    <n v="54"/>
    <s v="F"/>
    <d v="2022-07-11T00:00:00"/>
    <x v="2"/>
    <n v="270"/>
    <s v="Belfast"/>
    <s v="Closed"/>
    <m/>
    <m/>
  </r>
  <r>
    <s v="CLM-107"/>
    <s v="1107"/>
    <s v="Marcus Hill"/>
    <x v="0"/>
    <n v="32"/>
    <s v="M"/>
    <d v="2022-07-11T00:00:00"/>
    <x v="3"/>
    <s v="1920.00"/>
    <s v="Dublin"/>
    <s v="Under Review"/>
    <m/>
    <m/>
  </r>
  <r>
    <s v="CLM-108"/>
    <s v="1108"/>
    <s v="Faith Clarke"/>
    <x v="0"/>
    <n v="30"/>
    <s v="F"/>
    <d v="2022-07-15T00:00:00"/>
    <x v="3"/>
    <n v="1920"/>
    <s v="Dublin"/>
    <s v="Under Review"/>
    <m/>
    <m/>
  </r>
  <r>
    <s v="CLM-109"/>
    <s v="1109"/>
    <s v="Shannon Boyd"/>
    <x v="1"/>
    <n v="49"/>
    <s v="F"/>
    <d v="2022-07-15T00:00:00"/>
    <x v="4"/>
    <s v="1690.00"/>
    <s v="Edinburgh"/>
    <s v="Cancelled"/>
    <m/>
    <m/>
  </r>
  <r>
    <s v="CLM-110"/>
    <s v="1110"/>
    <s v="Tyler Mason"/>
    <x v="1"/>
    <n v="47"/>
    <s v="M"/>
    <d v="2022-07-18T00:00:00"/>
    <x v="4"/>
    <s v="1600"/>
    <s v="Edinburgh"/>
    <s v="Cancelled"/>
    <m/>
    <m/>
  </r>
  <r>
    <s v="CLM-111"/>
    <s v="1111"/>
    <s v="Jordan Ellis"/>
    <x v="4"/>
    <n v="39"/>
    <s v="M"/>
    <d v="2022-07-18T00:00:00"/>
    <x v="0"/>
    <s v="850.00"/>
    <s v="London"/>
    <s v="Approved"/>
    <m/>
    <m/>
  </r>
  <r>
    <s v="CLM-112"/>
    <s v="1112"/>
    <s v="Amelia Burns"/>
    <x v="4"/>
    <n v="35"/>
    <s v="F"/>
    <d v="2022-07-19T00:00:00"/>
    <x v="0"/>
    <n v="850"/>
    <s v="London"/>
    <s v="Approved"/>
    <m/>
    <m/>
  </r>
  <r>
    <s v="CLM-113"/>
    <s v="1113"/>
    <s v="Reece Nolan"/>
    <x v="3"/>
    <n v="57"/>
    <s v="M"/>
    <d v="2022-07-19T00:00:00"/>
    <x v="1"/>
    <s v="790.00"/>
    <s v="Cardiff"/>
    <s v="Pending"/>
    <m/>
    <m/>
  </r>
  <r>
    <s v="CLM-114"/>
    <s v="1114"/>
    <s v="Nina Fraser"/>
    <x v="1"/>
    <n v="52"/>
    <s v="F"/>
    <d v="2022-07-28T00:00:00"/>
    <x v="1"/>
    <s v="790"/>
    <s v="Cardiff"/>
    <s v="Pending"/>
    <m/>
    <m/>
  </r>
  <r>
    <s v="CLM-115"/>
    <s v="1115"/>
    <s v="Calvin Doyle"/>
    <x v="4"/>
    <n v="37"/>
    <s v="M"/>
    <d v="2022-07-28T00:00:00"/>
    <x v="2"/>
    <s v="510.00"/>
    <s v="Belfast"/>
    <s v="Closed"/>
    <m/>
    <m/>
  </r>
  <r>
    <s v="CLM-116"/>
    <s v="1116"/>
    <s v="Amber Payne"/>
    <x v="0"/>
    <n v="34"/>
    <s v="F"/>
    <d v="2022-08-03T00:00:00"/>
    <x v="2"/>
    <n v="510"/>
    <s v="Belfast"/>
    <s v="Closed"/>
    <m/>
    <m/>
  </r>
  <r>
    <s v="CLM-117"/>
    <s v="1117"/>
    <s v="Joel Carter"/>
    <x v="0"/>
    <n v="29"/>
    <s v="M"/>
    <d v="2022-08-03T00:00:00"/>
    <x v="3"/>
    <s v="2400.00"/>
    <s v="Dublin"/>
    <s v="Under Review"/>
    <m/>
    <m/>
  </r>
  <r>
    <s v="CLM-118"/>
    <s v="1118"/>
    <s v="Clara Boyd"/>
    <x v="0"/>
    <n v="28"/>
    <s v="F"/>
    <d v="2022-08-04T00:00:00"/>
    <x v="3"/>
    <n v="2400"/>
    <s v="Dublin"/>
    <s v="Under Review"/>
    <m/>
    <m/>
  </r>
  <r>
    <s v="CLM-119"/>
    <s v="1119"/>
    <s v="Martin Lowe"/>
    <x v="1"/>
    <n v="53"/>
    <s v="M"/>
    <d v="2022-08-04T00:00:00"/>
    <x v="4"/>
    <s v="1520.00"/>
    <s v="Edinburgh"/>
    <s v="Cancelled"/>
    <m/>
    <m/>
  </r>
  <r>
    <s v="CLM-120"/>
    <s v="1120"/>
    <s v="Rebecca Shaw"/>
    <x v="1"/>
    <n v="50"/>
    <s v="F"/>
    <d v="2022-08-05T00:00:00"/>
    <x v="4"/>
    <n v="1520"/>
    <s v="Edinburgh"/>
    <s v="Cancelled"/>
    <m/>
    <m/>
  </r>
  <r>
    <s v="CLM-121"/>
    <s v="1121"/>
    <s v="Daniel Hunt"/>
    <x v="4"/>
    <n v="41"/>
    <s v="M"/>
    <d v="2022-08-05T00:00:00"/>
    <x v="0"/>
    <n v="1330"/>
    <s v="London"/>
    <s v="Approved"/>
    <m/>
    <m/>
  </r>
  <r>
    <s v="CLM-122"/>
    <s v="1122"/>
    <s v="Sophie Lowe"/>
    <x v="4"/>
    <n v="38"/>
    <s v="F"/>
    <d v="2022-08-07T00:00:00"/>
    <x v="0"/>
    <s v="1330"/>
    <s v="London"/>
    <s v="Approved"/>
    <m/>
    <m/>
  </r>
  <r>
    <s v="CLM-123"/>
    <s v="1123"/>
    <s v="Patrick Boyd"/>
    <x v="1"/>
    <n v="46"/>
    <s v="M"/>
    <d v="2022-08-07T00:00:00"/>
    <x v="1"/>
    <s v="940.00"/>
    <s v="Cardiff"/>
    <s v="Pending"/>
    <m/>
    <m/>
  </r>
  <r>
    <s v="CLM-124"/>
    <s v="1124"/>
    <s v="Emily Mason"/>
    <x v="4"/>
    <n v="35"/>
    <s v="F"/>
    <d v="2022-08-11T00:00:00"/>
    <x v="1"/>
    <n v="940"/>
    <s v="Cardiff"/>
    <s v="Pending"/>
    <m/>
    <m/>
  </r>
  <r>
    <s v="CLM-125"/>
    <s v="1125"/>
    <s v="Shane Payne"/>
    <x v="3"/>
    <n v="57"/>
    <s v="M"/>
    <d v="2022-08-11T00:00:00"/>
    <x v="2"/>
    <s v="280.00"/>
    <s v="Belfast"/>
    <s v="Closed"/>
    <m/>
    <m/>
  </r>
  <r>
    <s v="CLM-126"/>
    <s v="1126"/>
    <s v="Georgia Fraser"/>
    <x v="3"/>
    <n v="55"/>
    <s v="F"/>
    <d v="2022-08-14T00:00:00"/>
    <x v="2"/>
    <n v="280"/>
    <s v="Belfast"/>
    <s v="Closed"/>
    <m/>
    <m/>
  </r>
  <r>
    <s v="CLM-127"/>
    <s v="1127"/>
    <s v="Marcus Nolan"/>
    <x v="0"/>
    <n v="33"/>
    <s v="M"/>
    <d v="2022-08-14T00:00:00"/>
    <x v="3"/>
    <s v="1940.00"/>
    <s v="Dublin"/>
    <s v="Under Review"/>
    <m/>
    <m/>
  </r>
  <r>
    <s v="CLM-128"/>
    <s v="1128"/>
    <s v="Faith Ellis"/>
    <x v="0"/>
    <n v="31"/>
    <s v="F"/>
    <d v="2022-08-15T00:00:00"/>
    <x v="3"/>
    <n v="1940"/>
    <s v="Dublin"/>
    <s v="Under Review"/>
    <m/>
    <m/>
  </r>
  <r>
    <s v="CLM-129"/>
    <s v="1129"/>
    <s v="Shannon Clarke"/>
    <x v="1"/>
    <n v="50"/>
    <s v="F"/>
    <d v="2022-08-19T00:00:00"/>
    <x v="4"/>
    <s v="1700.00"/>
    <s v="Edinburgh"/>
    <s v="Cancelled"/>
    <m/>
    <m/>
  </r>
  <r>
    <s v="CLM-130"/>
    <s v="1130"/>
    <s v="Tyler Brooks"/>
    <x v="1"/>
    <n v="48"/>
    <s v="M"/>
    <d v="2022-08-19T00:00:00"/>
    <x v="4"/>
    <s v="1700"/>
    <s v="Dublin"/>
    <s v="Closed"/>
    <m/>
    <m/>
  </r>
  <r>
    <s v="CLM-131"/>
    <s v="1131"/>
    <s v="Jordan Payne"/>
    <x v="4"/>
    <n v="40"/>
    <s v="M"/>
    <d v="2022-08-27T00:00:00"/>
    <x v="0"/>
    <s v="860.00"/>
    <s v="London"/>
    <s v="Approved"/>
    <m/>
    <m/>
  </r>
  <r>
    <s v="CLM-132"/>
    <s v="1132"/>
    <s v="Amelia Doyle"/>
    <x v="4"/>
    <n v="36"/>
    <s v="F"/>
    <d v="2022-08-27T00:00:00"/>
    <x v="0"/>
    <n v="860"/>
    <s v="London"/>
    <s v="Approved"/>
    <m/>
    <m/>
  </r>
  <r>
    <s v="CLM-133"/>
    <s v="1133"/>
    <s v="Reece Mason"/>
    <x v="3"/>
    <n v="58"/>
    <s v="M"/>
    <d v="2022-08-27T00:00:00"/>
    <x v="1"/>
    <s v="800.00"/>
    <s v="Cardiff"/>
    <s v="Pending"/>
    <m/>
    <m/>
  </r>
  <r>
    <s v="CLM-134"/>
    <s v="1134"/>
    <s v="Nina Lowe"/>
    <x v="1"/>
    <n v="53"/>
    <s v="F"/>
    <d v="2022-08-27T00:00:00"/>
    <x v="1"/>
    <s v="800"/>
    <s v="Cardiff"/>
    <s v="Pending"/>
    <m/>
    <m/>
  </r>
  <r>
    <s v="CLM-135"/>
    <s v="1135"/>
    <s v="Calvin Shaw"/>
    <x v="4"/>
    <n v="38"/>
    <s v="M"/>
    <d v="2022-09-01T00:00:00"/>
    <x v="2"/>
    <s v="520.00"/>
    <s v="Belfast"/>
    <s v="Closed"/>
    <m/>
    <m/>
  </r>
  <r>
    <s v="CLM-136"/>
    <s v="1136"/>
    <s v="Amber Boyd"/>
    <x v="4"/>
    <n v="35"/>
    <s v="F"/>
    <d v="2022-09-01T00:00:00"/>
    <x v="2"/>
    <n v="520"/>
    <s v="Belfast"/>
    <s v="Closed"/>
    <m/>
    <m/>
  </r>
  <r>
    <s v="CLM-137"/>
    <s v="1137"/>
    <s v="Joel Mason"/>
    <x v="0"/>
    <n v="30"/>
    <s v="M"/>
    <d v="2022-09-03T00:00:00"/>
    <x v="3"/>
    <s v="2450.00"/>
    <s v="Dublin"/>
    <s v="Under Review"/>
    <m/>
    <m/>
  </r>
  <r>
    <s v="CLM-138"/>
    <s v="1138"/>
    <s v="Clara Payne"/>
    <x v="0"/>
    <n v="29"/>
    <s v="F"/>
    <d v="2022-09-03T00:00:00"/>
    <x v="3"/>
    <s v="2450"/>
    <s v="Dublin"/>
    <s v="Under Review"/>
    <m/>
    <m/>
  </r>
  <r>
    <s v="CLM-139"/>
    <s v="1139"/>
    <s v="Martin Ellis"/>
    <x v="1"/>
    <n v="54"/>
    <s v="M"/>
    <d v="2022-09-08T00:00:00"/>
    <x v="4"/>
    <s v="1540.00"/>
    <s v="Edinburgh"/>
    <s v="Cancelled"/>
    <m/>
    <m/>
  </r>
  <r>
    <s v="CLM-140"/>
    <s v="1140"/>
    <s v="Rebecca Nolan"/>
    <x v="1"/>
    <n v="51"/>
    <s v="F"/>
    <d v="2022-09-08T00:00:00"/>
    <x v="4"/>
    <n v="1540"/>
    <s v="Edinburgh"/>
    <s v="Cancelled"/>
    <m/>
    <m/>
  </r>
  <r>
    <s v="CLM-141"/>
    <s v="1141"/>
    <s v="Daniel Brooks"/>
    <x v="4"/>
    <n v="42"/>
    <s v="M"/>
    <d v="2022-09-12T00:00:00"/>
    <x v="0"/>
    <n v="1340"/>
    <s v="London"/>
    <s v="Approved"/>
    <m/>
    <m/>
  </r>
  <r>
    <s v="CLM-142"/>
    <s v="1142"/>
    <s v="Sophie Mason"/>
    <x v="4"/>
    <n v="39"/>
    <s v="F"/>
    <d v="2022-09-12T00:00:00"/>
    <x v="0"/>
    <s v="1340"/>
    <s v="London"/>
    <s v="Approved"/>
    <m/>
    <m/>
  </r>
  <r>
    <s v="CLM-143"/>
    <s v="1143"/>
    <s v="Patrick Ellis"/>
    <x v="1"/>
    <n v="47"/>
    <s v="M"/>
    <d v="2022-09-14T00:00:00"/>
    <x v="1"/>
    <s v="950.00"/>
    <s v="Cardiff"/>
    <s v="Pending"/>
    <m/>
    <m/>
  </r>
  <r>
    <s v="CLM-144"/>
    <s v="1144"/>
    <s v="Emily Payne"/>
    <x v="4"/>
    <n v="36"/>
    <s v="F"/>
    <d v="2022-09-14T00:00:00"/>
    <x v="1"/>
    <n v="950"/>
    <s v="Cardiff"/>
    <s v="Pending"/>
    <m/>
    <m/>
  </r>
  <r>
    <s v="CLM-145"/>
    <s v="1145"/>
    <s v="Shane Nolan"/>
    <x v="3"/>
    <n v="58"/>
    <s v="M"/>
    <d v="2022-09-16T00:00:00"/>
    <x v="2"/>
    <s v="290.00"/>
    <s v="Belfast"/>
    <s v="Closed"/>
    <m/>
    <m/>
  </r>
  <r>
    <s v="CLM-146"/>
    <s v="1146"/>
    <s v="Georgia Shaw"/>
    <x v="3"/>
    <n v="56"/>
    <s v="F"/>
    <d v="2022-09-16T00:00:00"/>
    <x v="2"/>
    <n v="290"/>
    <s v="Belfast"/>
    <s v="Closed"/>
    <m/>
    <m/>
  </r>
  <r>
    <s v="CLM-147"/>
    <s v="1147"/>
    <s v="Marcus Clarke"/>
    <x v="0"/>
    <n v="34"/>
    <s v="M"/>
    <d v="2022-09-18T00:00:00"/>
    <x v="3"/>
    <s v="1960.00"/>
    <s v="Dublin"/>
    <s v="Under Review"/>
    <m/>
    <m/>
  </r>
  <r>
    <s v="CLM-148"/>
    <s v="1148"/>
    <s v="Faith Nolan"/>
    <x v="0"/>
    <n v="32"/>
    <s v="F"/>
    <d v="2022-09-18T00:00:00"/>
    <x v="3"/>
    <n v="1960"/>
    <s v="Dublin"/>
    <s v="Under Review"/>
    <m/>
    <m/>
  </r>
  <r>
    <s v="CLM-149"/>
    <s v="1149"/>
    <s v="Shannon Mason"/>
    <x v="1"/>
    <n v="51"/>
    <s v="F"/>
    <d v="2022-09-21T00:00:00"/>
    <x v="4"/>
    <s v="1710.00"/>
    <s v="Edinburgh"/>
    <s v="Cancelled"/>
    <m/>
    <m/>
  </r>
  <r>
    <s v="CLM-150"/>
    <s v="1150"/>
    <s v="Tyler Ellis"/>
    <x v="1"/>
    <n v="49"/>
    <s v="M"/>
    <d v="2022-09-21T00:00:00"/>
    <x v="4"/>
    <s v="1710"/>
    <s v="Edinburgh"/>
    <s v="Cancelled"/>
    <m/>
    <m/>
  </r>
  <r>
    <s v="CLM-151"/>
    <s v="1151"/>
    <s v="Jordan Clarke"/>
    <x v="4"/>
    <n v="41"/>
    <s v="M"/>
    <d v="2022-09-27T00:00:00"/>
    <x v="0"/>
    <s v="870.00"/>
    <s v="London"/>
    <s v="Approved"/>
    <m/>
    <m/>
  </r>
  <r>
    <s v="CLM-152"/>
    <s v="1152"/>
    <s v="Amelia Nolan"/>
    <x v="4"/>
    <n v="37"/>
    <s v="F"/>
    <d v="2022-09-27T00:00:00"/>
    <x v="0"/>
    <n v="870"/>
    <s v="London"/>
    <s v="Approved"/>
    <m/>
    <m/>
  </r>
  <r>
    <s v="CLM-153"/>
    <s v="1153"/>
    <s v="Reece Payne"/>
    <x v="3"/>
    <n v="59"/>
    <s v="M"/>
    <d v="2022-09-30T00:00:00"/>
    <x v="1"/>
    <s v="810.00"/>
    <s v="Cardiff"/>
    <s v="Pending"/>
    <m/>
    <m/>
  </r>
  <r>
    <s v="CLM-154"/>
    <s v="1154"/>
    <s v="Nina Mason"/>
    <x v="1"/>
    <n v="54"/>
    <s v="F"/>
    <d v="2022-10-01T00:00:00"/>
    <x v="1"/>
    <s v="810"/>
    <s v="Cardiff"/>
    <s v="Pending"/>
    <m/>
    <m/>
  </r>
  <r>
    <s v="CLM-155"/>
    <s v="1155"/>
    <s v="Calvin Ellis"/>
    <x v="4"/>
    <n v="39"/>
    <s v="M"/>
    <d v="2022-10-01T00:00:00"/>
    <x v="2"/>
    <s v="530.00"/>
    <s v="Belfast"/>
    <s v="Closed"/>
    <m/>
    <m/>
  </r>
  <r>
    <s v="CLM-156"/>
    <s v="1156"/>
    <s v="Amber Nolan"/>
    <x v="4"/>
    <n v="36"/>
    <s v="F"/>
    <d v="2022-10-03T00:00:00"/>
    <x v="2"/>
    <n v="530"/>
    <s v="Belfast"/>
    <s v="Closed"/>
    <m/>
    <m/>
  </r>
  <r>
    <s v="CLM-157"/>
    <s v="1157"/>
    <s v="Joel Payne"/>
    <x v="0"/>
    <n v="31"/>
    <s v="M"/>
    <d v="2022-10-03T00:00:00"/>
    <x v="3"/>
    <s v="2500.00"/>
    <s v="Dublin"/>
    <s v="Under Review"/>
    <m/>
    <m/>
  </r>
  <r>
    <s v="CLM-158"/>
    <s v="1158"/>
    <s v="Clara Mason"/>
    <x v="0"/>
    <n v="30"/>
    <s v="F"/>
    <d v="2022-10-05T00:00:00"/>
    <x v="3"/>
    <n v="2500"/>
    <s v="Dublin"/>
    <s v="Under Review"/>
    <m/>
    <m/>
  </r>
  <r>
    <s v="CLM-159"/>
    <s v="1159"/>
    <s v="Martin Clarke"/>
    <x v="3"/>
    <n v="55"/>
    <s v="M"/>
    <d v="2022-10-05T00:00:00"/>
    <x v="4"/>
    <s v="1560.00"/>
    <s v="Edinburgh"/>
    <s v="Cancelled"/>
    <m/>
    <m/>
  </r>
  <r>
    <s v="CLM-160"/>
    <s v="1160"/>
    <s v="Rebecca Ellis"/>
    <x v="1"/>
    <n v="52"/>
    <s v="F"/>
    <d v="2022-10-08T00:00:00"/>
    <x v="4"/>
    <n v="1560"/>
    <s v="Edinburgh"/>
    <s v="Cancelled"/>
    <m/>
    <m/>
  </r>
  <r>
    <s v="CLM-161"/>
    <s v="1161"/>
    <s v="Daniel Mason"/>
    <x v="4"/>
    <n v="43"/>
    <s v="M"/>
    <d v="2022-10-08T00:00:00"/>
    <x v="0"/>
    <n v="1350"/>
    <s v="London"/>
    <s v="Approved"/>
    <m/>
    <m/>
  </r>
  <r>
    <s v="CLM-162"/>
    <s v="1162"/>
    <s v="Sophie Clarke"/>
    <x v="4"/>
    <n v="40"/>
    <s v="F"/>
    <d v="2022-10-12T00:00:00"/>
    <x v="0"/>
    <s v="1350"/>
    <s v="London"/>
    <s v="Approved"/>
    <m/>
    <m/>
  </r>
  <r>
    <s v="CLM-163"/>
    <s v="1163"/>
    <s v="Patrick Nolan"/>
    <x v="1"/>
    <n v="48"/>
    <s v="M"/>
    <d v="2022-10-12T00:00:00"/>
    <x v="1"/>
    <s v="960.00"/>
    <s v="Cardiff"/>
    <s v="Pending"/>
    <m/>
    <m/>
  </r>
  <r>
    <s v="CLM-164"/>
    <s v="1164"/>
    <s v="Emily Ellis"/>
    <x v="4"/>
    <n v="37"/>
    <s v="F"/>
    <d v="2022-10-14T00:00:00"/>
    <x v="1"/>
    <n v="960"/>
    <s v="Cardiff"/>
    <s v="Pending"/>
    <m/>
    <m/>
  </r>
  <r>
    <s v="CLM-165"/>
    <s v="1165"/>
    <s v="Shane Mason"/>
    <x v="3"/>
    <n v="59"/>
    <s v="M"/>
    <d v="2022-10-14T00:00:00"/>
    <x v="2"/>
    <s v="300.00"/>
    <s v="Belfast"/>
    <s v="Closed"/>
    <m/>
    <m/>
  </r>
  <r>
    <s v="CLM-166"/>
    <s v="1166"/>
    <s v="Georgia Ellis"/>
    <x v="3"/>
    <n v="57"/>
    <s v="F"/>
    <d v="2022-10-18T00:00:00"/>
    <x v="2"/>
    <n v="300"/>
    <s v="Belfast"/>
    <s v="Closed"/>
    <m/>
    <m/>
  </r>
  <r>
    <s v="CLM-167"/>
    <s v="1167"/>
    <s v="Marcus Payne"/>
    <x v="4"/>
    <n v="35"/>
    <s v="M"/>
    <d v="2022-10-18T00:00:00"/>
    <x v="3"/>
    <s v="1980.00"/>
    <s v="Dublin"/>
    <s v="Under Review"/>
    <m/>
    <m/>
  </r>
  <r>
    <s v="CLM-168"/>
    <s v="1168"/>
    <s v="Faith Mason"/>
    <x v="0"/>
    <n v="33"/>
    <s v="F"/>
    <d v="2022-10-21T00:00:00"/>
    <x v="3"/>
    <n v="1980"/>
    <s v="Dublin"/>
    <s v="Under Review"/>
    <m/>
    <m/>
  </r>
  <r>
    <s v="CLM-169"/>
    <s v="1169"/>
    <s v="Shannon Ellis"/>
    <x v="1"/>
    <n v="52"/>
    <s v="F"/>
    <d v="2022-10-21T00:00:00"/>
    <x v="4"/>
    <s v="1720.00"/>
    <s v="Edinburgh"/>
    <s v="Cancelled"/>
    <m/>
    <m/>
  </r>
  <r>
    <s v="CLM-170"/>
    <s v="1170"/>
    <s v="Tyler Clarke"/>
    <x v="1"/>
    <n v="50"/>
    <s v="M"/>
    <d v="2022-10-29T00:00:00"/>
    <x v="4"/>
    <n v="1720"/>
    <s v="Edinburgh"/>
    <s v="Cancelled"/>
    <m/>
    <m/>
  </r>
  <r>
    <s v="CLM-171"/>
    <s v="1171"/>
    <s v="Jordan Mason"/>
    <x v="4"/>
    <n v="42"/>
    <s v="M"/>
    <d v="2022-10-29T00:00:00"/>
    <x v="0"/>
    <s v="880.00"/>
    <s v="London"/>
    <s v="Approved"/>
    <m/>
    <m/>
  </r>
  <r>
    <s v="CLM-172"/>
    <s v="1172"/>
    <s v="Amelia Ellis"/>
    <x v="4"/>
    <n v="38"/>
    <s v="F"/>
    <d v="2022-11-03T00:00:00"/>
    <x v="0"/>
    <n v="880"/>
    <s v="London"/>
    <s v="Approved"/>
    <m/>
    <m/>
  </r>
  <r>
    <s v="CLM-173"/>
    <s v="1173"/>
    <s v="Reece Clarke"/>
    <x v="3"/>
    <n v="60"/>
    <s v="M"/>
    <d v="2022-11-03T00:00:00"/>
    <x v="1"/>
    <s v="820.00"/>
    <s v="Cardiff"/>
    <s v="Pending"/>
    <m/>
    <m/>
  </r>
  <r>
    <s v="CLM-174"/>
    <s v="1174"/>
    <s v="Nina Nolan"/>
    <x v="3"/>
    <n v="55"/>
    <s v="F"/>
    <d v="2022-11-05T00:00:00"/>
    <x v="1"/>
    <s v="820"/>
    <s v="Cardiff"/>
    <s v="Pending"/>
    <m/>
    <m/>
  </r>
  <r>
    <s v="CLM-175"/>
    <s v="1175"/>
    <s v="Calvin Mason"/>
    <x v="4"/>
    <n v="40"/>
    <s v="M"/>
    <d v="2022-11-08T00:00:00"/>
    <x v="2"/>
    <s v="540.00"/>
    <s v="Belfast"/>
    <s v="Closed"/>
    <m/>
    <m/>
  </r>
  <r>
    <s v="CLM-176"/>
    <s v="1176"/>
    <s v="Amber Ellis"/>
    <x v="4"/>
    <n v="37"/>
    <s v="F"/>
    <d v="2022-11-08T00:00:00"/>
    <x v="2"/>
    <n v="540"/>
    <s v="Belfast"/>
    <s v="Closed"/>
    <m/>
    <m/>
  </r>
  <r>
    <s v="CLM-177"/>
    <s v="1177"/>
    <s v="Joel Clarke"/>
    <x v="0"/>
    <n v="32"/>
    <s v="M"/>
    <d v="2022-11-14T00:00:00"/>
    <x v="3"/>
    <s v="2550.00"/>
    <s v="Dublin"/>
    <s v="Under Review"/>
    <m/>
    <m/>
  </r>
  <r>
    <s v="CLM-178"/>
    <s v="1178"/>
    <s v="Clara Nolan"/>
    <x v="0"/>
    <n v="31"/>
    <s v="F"/>
    <d v="2022-11-14T00:00:00"/>
    <x v="3"/>
    <n v="2550"/>
    <s v="Dublin"/>
    <s v="Under Review"/>
    <m/>
    <m/>
  </r>
  <r>
    <s v="CLM-179"/>
    <s v="1179"/>
    <s v="Martin Mason"/>
    <x v="3"/>
    <n v="56"/>
    <s v="M"/>
    <d v="2022-11-17T00:00:00"/>
    <x v="4"/>
    <s v="1580.00"/>
    <s v="Edinburgh"/>
    <s v="Cancelled"/>
    <m/>
    <m/>
  </r>
  <r>
    <s v="CLM-180"/>
    <s v="1180"/>
    <s v="Rebecca Clarke"/>
    <x v="1"/>
    <n v="53"/>
    <s v="F"/>
    <d v="2022-11-17T00:00:00"/>
    <x v="4"/>
    <s v="1580"/>
    <s v="London"/>
    <s v="Cancelled"/>
    <m/>
    <m/>
  </r>
  <r>
    <s v="CLM-181"/>
    <s v="1181"/>
    <s v="Daniel Ellis"/>
    <x v="4"/>
    <n v="44"/>
    <s v="M"/>
    <d v="2022-11-19T00:00:00"/>
    <x v="0"/>
    <n v="1360"/>
    <s v="London"/>
    <s v="Approved"/>
    <m/>
    <m/>
  </r>
  <r>
    <s v="CLM-182"/>
    <s v="1182"/>
    <s v="Sophie Clarke"/>
    <x v="4"/>
    <n v="41"/>
    <s v="F"/>
    <d v="2022-11-19T00:00:00"/>
    <x v="0"/>
    <s v="1360"/>
    <s v="London"/>
    <s v="Approved"/>
    <m/>
    <m/>
  </r>
  <r>
    <s v="CLM-183"/>
    <s v="1183"/>
    <s v="Patrick Mason"/>
    <x v="1"/>
    <n v="49"/>
    <s v="M"/>
    <d v="2022-11-22T00:00:00"/>
    <x v="1"/>
    <s v="970.00"/>
    <s v="Cardiff"/>
    <s v="Pending"/>
    <m/>
    <m/>
  </r>
  <r>
    <s v="CLM-184"/>
    <s v="1184"/>
    <s v="Emily Nolan"/>
    <x v="4"/>
    <n v="38"/>
    <s v="F"/>
    <d v="2022-11-22T00:00:00"/>
    <x v="1"/>
    <n v="970"/>
    <s v="Cardiff"/>
    <s v="Pending"/>
    <m/>
    <m/>
  </r>
  <r>
    <s v="CLM-185"/>
    <s v="1185"/>
    <s v="Shane Ellis"/>
    <x v="3"/>
    <n v="60"/>
    <s v="M"/>
    <d v="2022-11-25T00:00:00"/>
    <x v="2"/>
    <s v="310.00"/>
    <s v="Belfast"/>
    <s v="Closed"/>
    <m/>
    <m/>
  </r>
  <r>
    <s v="CLM-186"/>
    <s v="1186"/>
    <s v="Georgia Clarke"/>
    <x v="3"/>
    <n v="58"/>
    <s v="F"/>
    <d v="2022-11-25T00:00:00"/>
    <x v="2"/>
    <n v="310"/>
    <s v="Belfast"/>
    <s v="Closed"/>
    <m/>
    <m/>
  </r>
  <r>
    <s v="CLM-187"/>
    <s v="1187"/>
    <s v="Marcus Mason"/>
    <x v="4"/>
    <n v="36"/>
    <s v="M"/>
    <d v="2022-12-02T00:00:00"/>
    <x v="3"/>
    <s v="1990.00"/>
    <s v="Dublin"/>
    <s v="Under Review"/>
    <m/>
    <m/>
  </r>
  <r>
    <s v="CLM-188"/>
    <s v="1188"/>
    <s v="Faith Ellis"/>
    <x v="0"/>
    <n v="34"/>
    <s v="F"/>
    <d v="2022-12-02T00:00:00"/>
    <x v="3"/>
    <s v="1990"/>
    <s v="Dublin"/>
    <s v="Under Review"/>
    <m/>
    <m/>
  </r>
  <r>
    <s v="CLM-189"/>
    <s v="1189"/>
    <s v="Shannon Clarke"/>
    <x v="1"/>
    <n v="53"/>
    <s v="F"/>
    <d v="2022-12-03T00:00:00"/>
    <x v="4"/>
    <s v="1730.00"/>
    <s v="Edinburgh"/>
    <s v="Cancelled"/>
    <m/>
    <m/>
  </r>
  <r>
    <s v="CLM-190"/>
    <s v="1190"/>
    <s v="Tyler Mason"/>
    <x v="1"/>
    <n v="51"/>
    <s v="M"/>
    <d v="2022-12-03T00:00:00"/>
    <x v="4"/>
    <n v="1730"/>
    <s v="Edinburgh"/>
    <s v="Cancelled"/>
    <m/>
    <m/>
  </r>
  <r>
    <s v="CLM-191"/>
    <s v="1191"/>
    <s v="Jordan Ellis"/>
    <x v="4"/>
    <n v="43"/>
    <s v="M"/>
    <d v="2022-12-08T00:00:00"/>
    <x v="0"/>
    <s v="890.00"/>
    <s v="London"/>
    <s v="Approved"/>
    <m/>
    <m/>
  </r>
  <r>
    <s v="CLM-192"/>
    <s v="1192"/>
    <s v="Amelia Clarke"/>
    <x v="4"/>
    <n v="39"/>
    <s v="F"/>
    <d v="2022-12-08T00:00:00"/>
    <x v="0"/>
    <n v="890"/>
    <s v="London"/>
    <s v="Approved"/>
    <m/>
    <m/>
  </r>
  <r>
    <s v="CLM-193"/>
    <s v="1193"/>
    <s v="Reece Mason"/>
    <x v="3"/>
    <n v="61"/>
    <s v="M"/>
    <d v="2022-12-11T00:00:00"/>
    <x v="1"/>
    <s v="830.00"/>
    <s v="Cardiff"/>
    <s v="Pending"/>
    <m/>
    <m/>
  </r>
  <r>
    <s v="CLM-194"/>
    <s v="1194"/>
    <s v="Nina Ellis"/>
    <x v="3"/>
    <n v="56"/>
    <s v="F"/>
    <d v="2022-12-11T00:00:00"/>
    <x v="1"/>
    <s v="830"/>
    <s v="Cardiff"/>
    <s v="Pending"/>
    <m/>
    <m/>
  </r>
  <r>
    <s v="CLM-195"/>
    <s v="1195"/>
    <s v="Calvin Clarke"/>
    <x v="4"/>
    <n v="41"/>
    <s v="M"/>
    <d v="2022-12-19T00:00:00"/>
    <x v="2"/>
    <s v="550.00"/>
    <s v="Belfast"/>
    <s v="Closed"/>
    <m/>
    <m/>
  </r>
  <r>
    <s v="CLM-196"/>
    <s v="1196"/>
    <s v="Amber Mason"/>
    <x v="4"/>
    <n v="38"/>
    <s v="F"/>
    <d v="2022-12-19T00:00:00"/>
    <x v="2"/>
    <n v="550"/>
    <s v="Belfast"/>
    <s v="Closed"/>
    <m/>
    <m/>
  </r>
  <r>
    <s v="CLM-197"/>
    <s v="1197"/>
    <s v="Joel Ellis"/>
    <x v="0"/>
    <n v="33"/>
    <s v="M"/>
    <d v="2022-12-27T00:00:00"/>
    <x v="3"/>
    <s v="2600.00"/>
    <s v="Dublin"/>
    <s v="Under Review"/>
    <m/>
    <m/>
  </r>
  <r>
    <s v="CLM-198"/>
    <s v="1198"/>
    <s v="Clara Clarke"/>
    <x v="0"/>
    <n v="32"/>
    <s v="F"/>
    <d v="2022-12-27T00:00:00"/>
    <x v="3"/>
    <n v="2600"/>
    <s v="Dublin"/>
    <s v="Under Review"/>
    <m/>
    <m/>
  </r>
  <r>
    <m/>
    <m/>
    <m/>
    <x v="2"/>
    <m/>
    <m/>
    <m/>
    <x v="5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98">
  <r>
    <s v="CLM-001"/>
    <s v="1001"/>
    <s v="John Smith"/>
    <s v="25-34"/>
    <n v="34"/>
    <s v="M"/>
    <x v="0"/>
    <x v="0"/>
    <n v="1200"/>
    <x v="0"/>
    <x v="0"/>
  </r>
  <r>
    <s v="CLM-001"/>
    <s v="1001"/>
    <s v="John  Smith"/>
    <s v="25-34"/>
    <n v="34"/>
    <s v="M"/>
    <x v="1"/>
    <x v="0"/>
    <s v="1200"/>
    <x v="0"/>
    <x v="0"/>
  </r>
  <r>
    <s v="CLM-002"/>
    <s v="1002"/>
    <s v="Sarah Jones"/>
    <s v="25-34"/>
    <n v="29"/>
    <s v="F"/>
    <x v="1"/>
    <x v="1"/>
    <s v="800.5"/>
    <x v="1"/>
    <x v="1"/>
  </r>
  <r>
    <s v="CLM-003"/>
    <s v="1003"/>
    <s v="Michael Brown"/>
    <s v="45-54"/>
    <n v="45"/>
    <s v="M"/>
    <x v="2"/>
    <x v="1"/>
    <n v="950"/>
    <x v="1"/>
    <x v="1"/>
  </r>
  <r>
    <s v="CLM-004"/>
    <s v="1004"/>
    <s v="Emily Davis"/>
    <s v="18-24"/>
    <n v="22"/>
    <s v="F"/>
    <x v="2"/>
    <x v="2"/>
    <s v="300.00"/>
    <x v="2"/>
    <x v="2"/>
  </r>
  <r>
    <s v="CLM-005"/>
    <s v="1005"/>
    <s v="Chris O'Neil"/>
    <s v="45-54"/>
    <n v="52"/>
    <s v="M"/>
    <x v="3"/>
    <x v="2"/>
    <n v="200"/>
    <x v="2"/>
    <x v="2"/>
  </r>
  <r>
    <s v="CLM-006"/>
    <s v="1006"/>
    <s v="Amy   Wilson"/>
    <s v="55+"/>
    <n v="120"/>
    <s v="F"/>
    <x v="3"/>
    <x v="3"/>
    <n v="2500"/>
    <x v="3"/>
    <x v="3"/>
  </r>
  <r>
    <s v="CLM-007"/>
    <s v="1007"/>
    <s v="Robert Lee"/>
    <s v="18-24"/>
    <n v="5"/>
    <s v="M"/>
    <x v="4"/>
    <x v="3"/>
    <s v="2500"/>
    <x v="3"/>
    <x v="3"/>
  </r>
  <r>
    <s v="CLM-008"/>
    <s v="1008"/>
    <s v="Jessica Taylor"/>
    <s v="35-44"/>
    <n v="38"/>
    <s v="F"/>
    <x v="4"/>
    <x v="4"/>
    <s v="1000.00"/>
    <x v="4"/>
    <x v="4"/>
  </r>
  <r>
    <s v="CLM-009"/>
    <s v="1009"/>
    <s v="Tom Harris"/>
    <s v="35-44"/>
    <n v="41"/>
    <s v="M"/>
    <x v="5"/>
    <x v="4"/>
    <n v="1"/>
    <x v="4"/>
    <x v="4"/>
  </r>
  <r>
    <s v="CLM-010"/>
    <s v="1010"/>
    <s v="Anna White"/>
    <s v="25-34"/>
    <n v="33"/>
    <s v="F"/>
    <x v="5"/>
    <x v="0"/>
    <s v="900.00"/>
    <x v="0"/>
    <x v="0"/>
  </r>
  <r>
    <s v="CLM-011"/>
    <s v="1011"/>
    <s v="David King"/>
    <s v="45-54"/>
    <n v="47"/>
    <s v="M"/>
    <x v="6"/>
    <x v="0"/>
    <n v="900"/>
    <x v="0"/>
    <x v="0"/>
  </r>
  <r>
    <s v="CLM-012"/>
    <s v="1012"/>
    <s v="Laura Green"/>
    <s v="25-34"/>
    <n v="28"/>
    <s v="F"/>
    <x v="6"/>
    <x v="1"/>
    <s v="700.00"/>
    <x v="1"/>
    <x v="1"/>
  </r>
  <r>
    <s v="CLM-013"/>
    <s v="1013"/>
    <s v="Peter Parker"/>
    <s v="35-44"/>
    <n v="36"/>
    <s v="M"/>
    <x v="7"/>
    <x v="1"/>
    <s v="700"/>
    <x v="1"/>
    <x v="1"/>
  </r>
  <r>
    <s v="CLM-015"/>
    <s v="1015"/>
    <s v="Daniel Craig"/>
    <s v="55+"/>
    <n v="55"/>
    <s v="M"/>
    <x v="7"/>
    <x v="2"/>
    <s v="450"/>
    <x v="2"/>
    <x v="2"/>
  </r>
  <r>
    <s v="CLM-016"/>
    <s v="1016"/>
    <s v="Lucy Hale"/>
    <s v="25-34"/>
    <n v="27"/>
    <s v="F"/>
    <x v="7"/>
    <x v="3"/>
    <s v="2000.00"/>
    <x v="3"/>
    <x v="3"/>
  </r>
  <r>
    <s v="CLM-017"/>
    <s v="1017"/>
    <s v="Mark Wood"/>
    <s v="35-44"/>
    <n v="39"/>
    <s v="M"/>
    <x v="7"/>
    <x v="3"/>
    <n v="2000"/>
    <x v="3"/>
    <x v="3"/>
  </r>
  <r>
    <s v="CLM-018"/>
    <s v="1018"/>
    <s v="Karen Black"/>
    <s v="35-44"/>
    <n v="44"/>
    <s v="F"/>
    <x v="8"/>
    <x v="4"/>
    <s v="1500.00"/>
    <x v="4"/>
    <x v="4"/>
  </r>
  <r>
    <s v="CLM-019"/>
    <s v="1019"/>
    <s v="Sam Carter"/>
    <s v="45-54"/>
    <n v="48"/>
    <s v="M"/>
    <x v="8"/>
    <x v="4"/>
    <n v="1500"/>
    <x v="4"/>
    <x v="4"/>
  </r>
  <r>
    <s v="CLM-020"/>
    <s v="1020"/>
    <s v="Olivia Stone"/>
    <s v="25-34"/>
    <n v="32"/>
    <s v="F"/>
    <x v="9"/>
    <x v="0"/>
    <s v="1000.00"/>
    <x v="0"/>
    <x v="0"/>
  </r>
  <r>
    <s v="CLM-021"/>
    <s v="1021"/>
    <s v="Liam Turner"/>
    <s v="35-44"/>
    <n v="37"/>
    <s v="M"/>
    <x v="9"/>
    <x v="0"/>
    <n v="1300"/>
    <x v="0"/>
    <x v="0"/>
  </r>
  <r>
    <s v="CLM-022"/>
    <s v="1022"/>
    <s v="Sophie Adams"/>
    <s v="25-34"/>
    <n v="26"/>
    <s v="F"/>
    <x v="10"/>
    <x v="0"/>
    <s v="1300"/>
    <x v="0"/>
    <x v="0"/>
  </r>
  <r>
    <s v="CLM-023"/>
    <s v="1023"/>
    <s v="George Hill"/>
    <s v="35-44"/>
    <n v="42"/>
    <s v="M"/>
    <x v="10"/>
    <x v="1"/>
    <s v="900.00"/>
    <x v="1"/>
    <x v="1"/>
  </r>
  <r>
    <s v="CLM-024"/>
    <s v="1024"/>
    <s v="Natalie Cook"/>
    <s v="25-34"/>
    <n v="31"/>
    <s v="F"/>
    <x v="11"/>
    <x v="1"/>
    <n v="900"/>
    <x v="1"/>
    <x v="1"/>
  </r>
  <r>
    <s v="CLM-025"/>
    <s v="1025"/>
    <s v="Harry Scott"/>
    <s v="45-54"/>
    <n v="50"/>
    <s v="M"/>
    <x v="11"/>
    <x v="2"/>
    <s v="250.00"/>
    <x v="2"/>
    <x v="2"/>
  </r>
  <r>
    <s v="CLM-026"/>
    <s v="1026"/>
    <s v="Chloe Price"/>
    <s v="45-54"/>
    <n v="47"/>
    <s v="F"/>
    <x v="12"/>
    <x v="2"/>
    <n v="250"/>
    <x v="2"/>
    <x v="2"/>
  </r>
  <r>
    <s v="CLM-027"/>
    <s v="1027"/>
    <s v="Jack Morris"/>
    <s v="35-44"/>
    <n v="39"/>
    <s v="M"/>
    <x v="12"/>
    <x v="3"/>
    <s v="1800.00"/>
    <x v="3"/>
    <x v="3"/>
  </r>
  <r>
    <s v="CLM-028"/>
    <s v="1028"/>
    <s v="Emma Carter"/>
    <s v="25-34"/>
    <n v="33"/>
    <s v="F"/>
    <x v="13"/>
    <x v="3"/>
    <s v="1800"/>
    <x v="3"/>
    <x v="3"/>
  </r>
  <r>
    <s v="CLM-029"/>
    <s v="1029"/>
    <s v="Noah Bennett"/>
    <s v="45-54"/>
    <n v="45"/>
    <s v="M"/>
    <x v="13"/>
    <x v="4"/>
    <s v="1600.00"/>
    <x v="4"/>
    <x v="4"/>
  </r>
  <r>
    <s v="CLM-030"/>
    <s v="1030"/>
    <s v="Ava Mitchell"/>
    <s v="35-44"/>
    <n v="41"/>
    <s v="F"/>
    <x v="13"/>
    <x v="4"/>
    <n v="1600"/>
    <x v="4"/>
    <x v="4"/>
  </r>
  <r>
    <s v="CLM-031"/>
    <s v="1031"/>
    <s v="Oliver Reed"/>
    <s v="35-44"/>
    <n v="36"/>
    <s v="M"/>
    <x v="13"/>
    <x v="0"/>
    <s v="850.00"/>
    <x v="0"/>
    <x v="0"/>
  </r>
  <r>
    <s v="CLM-032"/>
    <s v="1032"/>
    <s v="Mia Foster"/>
    <s v="25-34"/>
    <n v="29"/>
    <s v="F"/>
    <x v="14"/>
    <x v="0"/>
    <n v="850"/>
    <x v="0"/>
    <x v="0"/>
  </r>
  <r>
    <s v="CLM-033"/>
    <s v="1033"/>
    <s v="Lucas Gray"/>
    <s v="45-54"/>
    <n v="52"/>
    <s v="M"/>
    <x v="14"/>
    <x v="1"/>
    <s v="780.00"/>
    <x v="1"/>
    <x v="1"/>
  </r>
  <r>
    <s v="CLM-034"/>
    <s v="1034"/>
    <s v="Grace Kelly"/>
    <s v="45-54"/>
    <n v="48"/>
    <s v="F"/>
    <x v="15"/>
    <x v="1"/>
    <s v="780"/>
    <x v="1"/>
    <x v="1"/>
  </r>
  <r>
    <s v="CLM-035"/>
    <s v="1035"/>
    <s v="Ethan Ward"/>
    <s v="25-34"/>
    <n v="34"/>
    <s v="M"/>
    <x v="15"/>
    <x v="2"/>
    <s v="500.00"/>
    <x v="2"/>
    <x v="2"/>
  </r>
  <r>
    <s v="CLM-036"/>
    <s v="1036"/>
    <s v="Lily Howard"/>
    <s v="25-34"/>
    <n v="32"/>
    <s v="F"/>
    <x v="16"/>
    <x v="2"/>
    <n v="500"/>
    <x v="2"/>
    <x v="2"/>
  </r>
  <r>
    <s v="CLM-037"/>
    <s v="1037"/>
    <s v="Jacob Evans"/>
    <s v="25-34"/>
    <n v="28"/>
    <s v="M"/>
    <x v="16"/>
    <x v="3"/>
    <s v="2100.00"/>
    <x v="3"/>
    <x v="3"/>
  </r>
  <r>
    <s v="CLM-038"/>
    <s v="1038"/>
    <s v="Isabella Young"/>
    <s v="25-34"/>
    <n v="27"/>
    <s v="F"/>
    <x v="17"/>
    <x v="3"/>
    <n v="2100"/>
    <x v="3"/>
    <x v="3"/>
  </r>
  <r>
    <s v="CLM-039"/>
    <s v="1039"/>
    <s v="William Brooks"/>
    <s v="45-54"/>
    <n v="49"/>
    <s v="M"/>
    <x v="17"/>
    <x v="4"/>
    <s v="1400.00"/>
    <x v="4"/>
    <x v="4"/>
  </r>
  <r>
    <s v="CLM-040"/>
    <s v="1040"/>
    <s v="Emily Ward"/>
    <s v="45-54"/>
    <n v="46"/>
    <s v="F"/>
    <x v="18"/>
    <x v="4"/>
    <s v="1400"/>
    <x v="4"/>
    <x v="4"/>
  </r>
  <r>
    <s v="CLM-041"/>
    <s v="1041"/>
    <s v="James Nolan"/>
    <s v="35-44"/>
    <n v="38"/>
    <s v="M"/>
    <x v="19"/>
    <x v="0"/>
    <n v="1250"/>
    <x v="0"/>
    <x v="0"/>
  </r>
  <r>
    <s v="CLM-042"/>
    <s v="1042"/>
    <s v="Hannah Doyle"/>
    <s v="35-44"/>
    <n v="35"/>
    <s v="F"/>
    <x v="19"/>
    <x v="0"/>
    <s v="1250"/>
    <x v="0"/>
    <x v="0"/>
  </r>
  <r>
    <s v="CLM-043"/>
    <s v="1043"/>
    <s v="Patrick Byrne"/>
    <s v="35-44"/>
    <n v="44"/>
    <s v="M"/>
    <x v="20"/>
    <x v="1"/>
    <s v="880.00"/>
    <x v="1"/>
    <x v="1"/>
  </r>
  <r>
    <s v="CLM-044"/>
    <s v="1044"/>
    <s v="Rebecca Shaw"/>
    <s v="25-34"/>
    <n v="33"/>
    <s v="F"/>
    <x v="20"/>
    <x v="1"/>
    <n v="880"/>
    <x v="1"/>
    <x v="1"/>
  </r>
  <r>
    <s v="CLM-045"/>
    <s v="1045"/>
    <s v="Declan Reid"/>
    <s v="45-54"/>
    <n v="51"/>
    <s v="M"/>
    <x v="21"/>
    <x v="2"/>
    <s v="275.00"/>
    <x v="2"/>
    <x v="2"/>
  </r>
  <r>
    <s v="CLM-046"/>
    <s v="1046"/>
    <s v="Amber Flynn"/>
    <s v="45-54"/>
    <n v="49"/>
    <s v="F"/>
    <x v="21"/>
    <x v="2"/>
    <n v="275"/>
    <x v="2"/>
    <x v="2"/>
  </r>
  <r>
    <s v="CLM-047"/>
    <s v="1047"/>
    <s v="Shane Murphy"/>
    <s v="25-34"/>
    <n v="29"/>
    <s v="M"/>
    <x v="22"/>
    <x v="3"/>
    <s v="1950.00"/>
    <x v="3"/>
    <x v="3"/>
  </r>
  <r>
    <s v="CLM-048"/>
    <s v="1048"/>
    <s v="Paige Turner"/>
    <s v="25-34"/>
    <n v="28"/>
    <s v="F"/>
    <x v="22"/>
    <x v="3"/>
    <n v="1950"/>
    <x v="3"/>
    <x v="3"/>
  </r>
  <r>
    <s v="CLM-049"/>
    <s v="1049"/>
    <s v="Connor Walsh"/>
    <s v="45-54"/>
    <n v="46"/>
    <s v="M"/>
    <x v="23"/>
    <x v="4"/>
    <s v="1700.00"/>
    <x v="4"/>
    <x v="4"/>
  </r>
  <r>
    <s v="CLM-050"/>
    <s v="1050"/>
    <s v="Julia Burns"/>
    <s v="35-44"/>
    <n v="43"/>
    <s v="F"/>
    <x v="23"/>
    <x v="4"/>
    <n v="1700"/>
    <x v="4"/>
    <x v="4"/>
  </r>
  <r>
    <s v="CLM-051"/>
    <s v="1051"/>
    <s v="Adam Clarke"/>
    <s v="35-44"/>
    <n v="37"/>
    <s v="M"/>
    <x v="24"/>
    <x v="0"/>
    <s v="820.00"/>
    <x v="0"/>
    <x v="0"/>
  </r>
  <r>
    <s v="CLM-052"/>
    <s v="1052"/>
    <s v="Chloe Martin"/>
    <s v="25-34"/>
    <n v="31"/>
    <s v="F"/>
    <x v="24"/>
    <x v="0"/>
    <n v="820"/>
    <x v="0"/>
    <x v="0"/>
  </r>
  <r>
    <s v="CLM-053"/>
    <s v="1053"/>
    <s v="Jason Kelly"/>
    <s v="45-54"/>
    <n v="53"/>
    <s v="M"/>
    <x v="25"/>
    <x v="1"/>
    <s v="760.00"/>
    <x v="1"/>
    <x v="1"/>
  </r>
  <r>
    <s v="CLM-054"/>
    <s v="1054"/>
    <s v="Freya Hughes"/>
    <s v="45-54"/>
    <n v="47"/>
    <s v="F"/>
    <x v="25"/>
    <x v="1"/>
    <s v="760"/>
    <x v="1"/>
    <x v="1"/>
  </r>
  <r>
    <s v="CLM-055"/>
    <s v="1055"/>
    <s v="Callum Price"/>
    <s v="25-34"/>
    <n v="33"/>
    <s v="M"/>
    <x v="26"/>
    <x v="2"/>
    <s v="480.00"/>
    <x v="2"/>
    <x v="2"/>
  </r>
  <r>
    <s v="CLM-056"/>
    <s v="1056"/>
    <s v="Isla Cooper"/>
    <s v="25-34"/>
    <n v="30"/>
    <s v="F"/>
    <x v="26"/>
    <x v="2"/>
    <n v="480"/>
    <x v="2"/>
    <x v="2"/>
  </r>
  <r>
    <s v="CLM-057"/>
    <s v="1057"/>
    <s v="Leo Barker"/>
    <s v="25-34"/>
    <n v="26"/>
    <s v="M"/>
    <x v="27"/>
    <x v="3"/>
    <s v="2200.00"/>
    <x v="3"/>
    <x v="3"/>
  </r>
  <r>
    <s v="CLM-058"/>
    <s v="1058"/>
    <s v="Harriet Owen"/>
    <s v="25-34"/>
    <n v="25"/>
    <s v="F"/>
    <x v="27"/>
    <x v="3"/>
    <n v="2200"/>
    <x v="3"/>
    <x v="3"/>
  </r>
  <r>
    <s v="CLM-059"/>
    <s v="1059"/>
    <s v="Ryan Fraser"/>
    <s v="45-54"/>
    <n v="50"/>
    <s v="M"/>
    <x v="28"/>
    <x v="4"/>
    <s v="1550.00"/>
    <x v="4"/>
    <x v="4"/>
  </r>
  <r>
    <s v="CLM-060"/>
    <s v="1060"/>
    <s v="Sienna Boyd"/>
    <s v="45-54"/>
    <n v="48"/>
    <s v="F"/>
    <x v="28"/>
    <x v="4"/>
    <n v="1550"/>
    <x v="4"/>
    <x v="4"/>
  </r>
  <r>
    <s v="CLM-061"/>
    <s v="1061"/>
    <s v="Harvey Mills"/>
    <s v="35-44"/>
    <n v="40"/>
    <s v="M"/>
    <x v="29"/>
    <x v="0"/>
    <n v="1280"/>
    <x v="0"/>
    <x v="0"/>
  </r>
  <r>
    <s v="CLM-062"/>
    <s v="1062"/>
    <s v="Eleanor Shaw"/>
    <s v="35-44"/>
    <n v="36"/>
    <s v="F"/>
    <x v="29"/>
    <x v="0"/>
    <s v="1280"/>
    <x v="0"/>
    <x v="0"/>
  </r>
  <r>
    <s v="CLM-063"/>
    <s v="1063"/>
    <s v="Brandon Cole"/>
    <s v="35-44"/>
    <n v="43"/>
    <s v="M"/>
    <x v="30"/>
    <x v="1"/>
    <s v="910.00"/>
    <x v="1"/>
    <x v="1"/>
  </r>
  <r>
    <s v="CLM-064"/>
    <s v="1064"/>
    <s v="Abigail Hunt"/>
    <s v="25-34"/>
    <n v="32"/>
    <s v="F"/>
    <x v="30"/>
    <x v="1"/>
    <n v="910"/>
    <x v="1"/>
    <x v="1"/>
  </r>
  <r>
    <s v="CLM-065"/>
    <s v="1065"/>
    <s v="Stuart Kemp"/>
    <s v="45-54"/>
    <n v="54"/>
    <s v="M"/>
    <x v="31"/>
    <x v="2"/>
    <s v="260.00"/>
    <x v="2"/>
    <x v="2"/>
  </r>
  <r>
    <s v="CLM-066"/>
    <s v="1066"/>
    <s v="Georgia Lane"/>
    <s v="45-54"/>
    <n v="52"/>
    <s v="F"/>
    <x v="31"/>
    <x v="2"/>
    <n v="260"/>
    <x v="2"/>
    <x v="2"/>
  </r>
  <r>
    <s v="CLM-067"/>
    <s v="1067"/>
    <s v="Marcus Doyle"/>
    <s v="25-34"/>
    <n v="30"/>
    <s v="M"/>
    <x v="31"/>
    <x v="3"/>
    <s v="1850.00"/>
    <x v="3"/>
    <x v="3"/>
  </r>
  <r>
    <s v="CLM-068"/>
    <s v="1068"/>
    <s v="Faith Morgan"/>
    <s v="25-34"/>
    <n v="29"/>
    <s v="F"/>
    <x v="31"/>
    <x v="3"/>
    <n v="1850"/>
    <x v="3"/>
    <x v="3"/>
  </r>
  <r>
    <s v="CLM-069"/>
    <s v="1069"/>
    <s v="Shannon Reid"/>
    <s v="45-54"/>
    <n v="47"/>
    <s v="F"/>
    <x v="31"/>
    <x v="4"/>
    <s v="1650.00"/>
    <x v="4"/>
    <x v="4"/>
  </r>
  <r>
    <s v="CLM-070"/>
    <s v="1070"/>
    <s v="Tyler Grant"/>
    <s v="45-54"/>
    <n v="45"/>
    <s v="M"/>
    <x v="32"/>
    <x v="4"/>
    <n v="1650"/>
    <x v="4"/>
    <x v="4"/>
  </r>
  <r>
    <s v="CLM-071"/>
    <s v="1071"/>
    <s v="Jordan Blake"/>
    <s v="35-44"/>
    <n v="38"/>
    <s v="M"/>
    <x v="32"/>
    <x v="0"/>
    <s v="830.00"/>
    <x v="0"/>
    <x v="0"/>
  </r>
  <r>
    <s v="CLM-072"/>
    <s v="1072"/>
    <s v="Amelia Cross"/>
    <s v="25-34"/>
    <n v="34"/>
    <s v="F"/>
    <x v="33"/>
    <x v="0"/>
    <n v="830"/>
    <x v="0"/>
    <x v="0"/>
  </r>
  <r>
    <s v="CLM-073"/>
    <s v="1073"/>
    <s v="Reece Turner"/>
    <s v="55+"/>
    <n v="55"/>
    <s v="M"/>
    <x v="33"/>
    <x v="1"/>
    <s v="770.00"/>
    <x v="1"/>
    <x v="1"/>
  </r>
  <r>
    <s v="CLM-074"/>
    <s v="1074"/>
    <s v="Nina Barrett"/>
    <s v="45-54"/>
    <n v="50"/>
    <s v="F"/>
    <x v="34"/>
    <x v="1"/>
    <s v="770"/>
    <x v="1"/>
    <x v="1"/>
  </r>
  <r>
    <s v="CLM-075"/>
    <s v="1075"/>
    <s v="Calvin Moss"/>
    <s v="35-44"/>
    <n v="35"/>
    <s v="M"/>
    <x v="34"/>
    <x v="2"/>
    <s v="490.00"/>
    <x v="2"/>
    <x v="2"/>
  </r>
  <r>
    <s v="CLM-076"/>
    <s v="1076"/>
    <s v="Amber Ellis"/>
    <s v="25-34"/>
    <n v="33"/>
    <s v="F"/>
    <x v="35"/>
    <x v="2"/>
    <n v="490"/>
    <x v="2"/>
    <x v="2"/>
  </r>
  <r>
    <s v="CLM-077"/>
    <s v="1077"/>
    <s v="Joel Fraser"/>
    <s v="25-34"/>
    <n v="27"/>
    <s v="M"/>
    <x v="35"/>
    <x v="3"/>
    <s v="2300.00"/>
    <x v="3"/>
    <x v="3"/>
  </r>
  <r>
    <s v="CLM-078"/>
    <s v="1078"/>
    <s v="Clara Jennings"/>
    <s v="25-34"/>
    <n v="26"/>
    <s v="F"/>
    <x v="36"/>
    <x v="3"/>
    <n v="2300"/>
    <x v="3"/>
    <x v="3"/>
  </r>
  <r>
    <s v="CLM-079"/>
    <s v="1079"/>
    <s v="Martin Doyle"/>
    <s v="45-54"/>
    <n v="51"/>
    <s v="M"/>
    <x v="36"/>
    <x v="4"/>
    <s v="1450.00"/>
    <x v="4"/>
    <x v="4"/>
  </r>
  <r>
    <s v="CLM-080"/>
    <s v="1080"/>
    <s v="Rebecca Lowe"/>
    <s v="45-54"/>
    <n v="49"/>
    <s v="F"/>
    <x v="37"/>
    <x v="4"/>
    <n v="1450"/>
    <x v="4"/>
    <x v="4"/>
  </r>
  <r>
    <s v="CLM-081"/>
    <s v="1081"/>
    <s v="Daniel Moore"/>
    <s v="35-44"/>
    <n v="39"/>
    <s v="M"/>
    <x v="37"/>
    <x v="0"/>
    <n v="1310"/>
    <x v="0"/>
    <x v="0"/>
  </r>
  <r>
    <s v="CLM-082"/>
    <s v="1082"/>
    <s v="Sarah Patel"/>
    <s v="35-44"/>
    <n v="36"/>
    <s v="F"/>
    <x v="38"/>
    <x v="0"/>
    <s v="1310"/>
    <x v="0"/>
    <x v="0"/>
  </r>
  <r>
    <s v="CLM-083"/>
    <s v="1083"/>
    <s v="Anthony Wells"/>
    <s v="35-44"/>
    <n v="44"/>
    <s v="M"/>
    <x v="38"/>
    <x v="1"/>
    <s v="920.00"/>
    <x v="1"/>
    <x v="1"/>
  </r>
  <r>
    <s v="CLM-084"/>
    <s v="1084"/>
    <s v="Lucy Hammond"/>
    <s v="25-34"/>
    <n v="33"/>
    <s v="F"/>
    <x v="39"/>
    <x v="1"/>
    <n v="920"/>
    <x v="1"/>
    <x v="1"/>
  </r>
  <r>
    <s v="CLM-085"/>
    <s v="1085"/>
    <s v="Paul Gibson"/>
    <s v="55+"/>
    <n v="55"/>
    <s v="M"/>
    <x v="39"/>
    <x v="2"/>
    <s v="265.00"/>
    <x v="2"/>
    <x v="2"/>
  </r>
  <r>
    <s v="CLM-086"/>
    <s v="1086"/>
    <s v="Holly Barrett"/>
    <s v="45-54"/>
    <n v="53"/>
    <s v="F"/>
    <x v="40"/>
    <x v="2"/>
    <n v="265"/>
    <x v="2"/>
    <x v="2"/>
  </r>
  <r>
    <s v="CLM-087"/>
    <s v="1087"/>
    <s v="Stacey Quinn"/>
    <s v="25-34"/>
    <n v="31"/>
    <s v="F"/>
    <x v="40"/>
    <x v="3"/>
    <s v="1900.00"/>
    <x v="3"/>
    <x v="3"/>
  </r>
  <r>
    <s v="CLM-088"/>
    <s v="1088"/>
    <s v="Jamie Foster"/>
    <s v="25-34"/>
    <n v="29"/>
    <s v="M"/>
    <x v="41"/>
    <x v="3"/>
    <n v="1900"/>
    <x v="3"/>
    <x v="3"/>
  </r>
  <r>
    <s v="CLM-089"/>
    <s v="1089"/>
    <s v="Oliver Payne"/>
    <s v="45-54"/>
    <n v="48"/>
    <s v="M"/>
    <x v="41"/>
    <x v="4"/>
    <s v="1680.00"/>
    <x v="4"/>
    <x v="4"/>
  </r>
  <r>
    <s v="CLM-090"/>
    <s v="1090"/>
    <s v="Charlotte Dean"/>
    <s v="45-54"/>
    <n v="46"/>
    <s v="F"/>
    <x v="42"/>
    <x v="4"/>
    <n v="1680"/>
    <x v="4"/>
    <x v="4"/>
  </r>
  <r>
    <s v="CLM-091"/>
    <s v="1091"/>
    <s v="Henry Walsh"/>
    <s v="35-44"/>
    <n v="37"/>
    <s v="M"/>
    <x v="42"/>
    <x v="0"/>
    <s v="840.00"/>
    <x v="0"/>
    <x v="0"/>
  </r>
  <r>
    <s v="CLM-092"/>
    <s v="1092"/>
    <s v="Emily Fraser"/>
    <s v="25-34"/>
    <n v="34"/>
    <s v="F"/>
    <x v="43"/>
    <x v="0"/>
    <n v="840"/>
    <x v="0"/>
    <x v="0"/>
  </r>
  <r>
    <s v="CLM-093"/>
    <s v="1093"/>
    <s v="Leon Carter"/>
    <s v="55+"/>
    <n v="56"/>
    <s v="M"/>
    <x v="43"/>
    <x v="1"/>
    <s v="780.00"/>
    <x v="1"/>
    <x v="1"/>
  </r>
  <r>
    <s v="CLM-094"/>
    <s v="1094"/>
    <s v="Grace Nolan"/>
    <s v="45-54"/>
    <n v="51"/>
    <s v="F"/>
    <x v="44"/>
    <x v="1"/>
    <s v="780"/>
    <x v="1"/>
    <x v="1"/>
  </r>
  <r>
    <s v="CLM-095"/>
    <s v="1095"/>
    <s v="Marcus Boyd"/>
    <s v="35-44"/>
    <n v="36"/>
    <s v="M"/>
    <x v="44"/>
    <x v="2"/>
    <s v="495.00"/>
    <x v="2"/>
    <x v="2"/>
  </r>
  <r>
    <s v="CLM-096"/>
    <s v="1096"/>
    <s v="Abbie Lowe"/>
    <s v="25-34"/>
    <n v="33"/>
    <s v="F"/>
    <x v="45"/>
    <x v="2"/>
    <n v="495"/>
    <x v="2"/>
    <x v="2"/>
  </r>
  <r>
    <s v="CLM-097"/>
    <s v="1097"/>
    <s v="Sean Turner"/>
    <s v="25-34"/>
    <n v="28"/>
    <s v="M"/>
    <x v="45"/>
    <x v="3"/>
    <s v="2350.00"/>
    <x v="3"/>
    <x v="3"/>
  </r>
  <r>
    <s v="CLM-098"/>
    <s v="1098"/>
    <s v="Chloe Jennings"/>
    <s v="25-34"/>
    <n v="27"/>
    <s v="F"/>
    <x v="46"/>
    <x v="3"/>
    <n v="2350"/>
    <x v="3"/>
    <x v="3"/>
  </r>
  <r>
    <s v="CLM-099"/>
    <s v="1099"/>
    <s v="Martin Shaw"/>
    <s v="45-54"/>
    <n v="52"/>
    <s v="M"/>
    <x v="46"/>
    <x v="4"/>
    <s v="1500.00"/>
    <x v="4"/>
    <x v="4"/>
  </r>
  <r>
    <s v="CLM-100"/>
    <s v="1100"/>
    <s v="Rebecca Flynn"/>
    <s v="45-54"/>
    <n v="49"/>
    <s v="F"/>
    <x v="47"/>
    <x v="4"/>
    <n v="1500"/>
    <x v="4"/>
    <x v="4"/>
  </r>
  <r>
    <s v="CLM-101"/>
    <s v="1101"/>
    <s v="Daniel Harris"/>
    <s v="35-44"/>
    <n v="40"/>
    <s v="M"/>
    <x v="47"/>
    <x v="0"/>
    <n v="1320"/>
    <x v="0"/>
    <x v="0"/>
  </r>
  <r>
    <s v="CLM-102"/>
    <s v="1102"/>
    <s v="Sophie Turner"/>
    <s v="35-44"/>
    <n v="37"/>
    <s v="F"/>
    <x v="48"/>
    <x v="0"/>
    <s v="1320"/>
    <x v="0"/>
    <x v="0"/>
  </r>
  <r>
    <s v="CLM-103"/>
    <s v="1103"/>
    <s v="Patrick Lewis"/>
    <s v="45-54"/>
    <n v="45"/>
    <s v="M"/>
    <x v="48"/>
    <x v="1"/>
    <s v="930.00"/>
    <x v="1"/>
    <x v="1"/>
  </r>
  <r>
    <s v="CLM-104"/>
    <s v="1104"/>
    <s v="Emily Walsh"/>
    <s v="25-34"/>
    <n v="34"/>
    <s v="F"/>
    <x v="48"/>
    <x v="1"/>
    <n v="930"/>
    <x v="1"/>
    <x v="1"/>
  </r>
  <r>
    <s v="CLM-105"/>
    <s v="1105"/>
    <s v="Shane Cooper"/>
    <s v="55+"/>
    <n v="56"/>
    <s v="M"/>
    <x v="48"/>
    <x v="2"/>
    <s v="270.00"/>
    <x v="2"/>
    <x v="2"/>
  </r>
  <r>
    <s v="CLM-106"/>
    <s v="1106"/>
    <s v="Georgia Adams"/>
    <s v="45-54"/>
    <n v="54"/>
    <s v="F"/>
    <x v="49"/>
    <x v="2"/>
    <n v="270"/>
    <x v="2"/>
    <x v="2"/>
  </r>
  <r>
    <s v="CLM-107"/>
    <s v="1107"/>
    <s v="Marcus Hill"/>
    <s v="25-34"/>
    <n v="32"/>
    <s v="M"/>
    <x v="49"/>
    <x v="3"/>
    <s v="1920.00"/>
    <x v="3"/>
    <x v="3"/>
  </r>
  <r>
    <s v="CLM-108"/>
    <s v="1108"/>
    <s v="Faith Clarke"/>
    <s v="25-34"/>
    <n v="30"/>
    <s v="F"/>
    <x v="50"/>
    <x v="3"/>
    <n v="1920"/>
    <x v="3"/>
    <x v="3"/>
  </r>
  <r>
    <s v="CLM-109"/>
    <s v="1109"/>
    <s v="Shannon Boyd"/>
    <s v="45-54"/>
    <n v="49"/>
    <s v="F"/>
    <x v="50"/>
    <x v="4"/>
    <s v="1690.00"/>
    <x v="4"/>
    <x v="4"/>
  </r>
  <r>
    <s v="CLM-110"/>
    <s v="1110"/>
    <s v="Tyler Mason"/>
    <s v="45-54"/>
    <n v="47"/>
    <s v="M"/>
    <x v="51"/>
    <x v="4"/>
    <s v="1600"/>
    <x v="4"/>
    <x v="4"/>
  </r>
  <r>
    <s v="CLM-111"/>
    <s v="1111"/>
    <s v="Jordan Ellis"/>
    <s v="35-44"/>
    <n v="39"/>
    <s v="M"/>
    <x v="51"/>
    <x v="0"/>
    <s v="850.00"/>
    <x v="0"/>
    <x v="0"/>
  </r>
  <r>
    <s v="CLM-112"/>
    <s v="1112"/>
    <s v="Amelia Burns"/>
    <s v="35-44"/>
    <n v="35"/>
    <s v="F"/>
    <x v="52"/>
    <x v="0"/>
    <n v="850"/>
    <x v="0"/>
    <x v="0"/>
  </r>
  <r>
    <s v="CLM-113"/>
    <s v="1113"/>
    <s v="Reece Nolan"/>
    <s v="55+"/>
    <n v="57"/>
    <s v="M"/>
    <x v="52"/>
    <x v="1"/>
    <s v="790.00"/>
    <x v="1"/>
    <x v="1"/>
  </r>
  <r>
    <s v="CLM-114"/>
    <s v="1114"/>
    <s v="Nina Fraser"/>
    <s v="45-54"/>
    <n v="52"/>
    <s v="F"/>
    <x v="53"/>
    <x v="1"/>
    <s v="790"/>
    <x v="1"/>
    <x v="1"/>
  </r>
  <r>
    <s v="CLM-115"/>
    <s v="1115"/>
    <s v="Calvin Doyle"/>
    <s v="35-44"/>
    <n v="37"/>
    <s v="M"/>
    <x v="53"/>
    <x v="2"/>
    <s v="510.00"/>
    <x v="2"/>
    <x v="2"/>
  </r>
  <r>
    <s v="CLM-116"/>
    <s v="1116"/>
    <s v="Amber Payne"/>
    <s v="25-34"/>
    <n v="34"/>
    <s v="F"/>
    <x v="54"/>
    <x v="2"/>
    <n v="510"/>
    <x v="2"/>
    <x v="2"/>
  </r>
  <r>
    <s v="CLM-117"/>
    <s v="1117"/>
    <s v="Joel Carter"/>
    <s v="25-34"/>
    <n v="29"/>
    <s v="M"/>
    <x v="54"/>
    <x v="3"/>
    <s v="2400.00"/>
    <x v="3"/>
    <x v="3"/>
  </r>
  <r>
    <s v="CLM-118"/>
    <s v="1118"/>
    <s v="Clara Boyd"/>
    <s v="25-34"/>
    <n v="28"/>
    <s v="F"/>
    <x v="55"/>
    <x v="3"/>
    <n v="2400"/>
    <x v="3"/>
    <x v="3"/>
  </r>
  <r>
    <s v="CLM-119"/>
    <s v="1119"/>
    <s v="Martin Lowe"/>
    <s v="45-54"/>
    <n v="53"/>
    <s v="M"/>
    <x v="55"/>
    <x v="4"/>
    <s v="1520.00"/>
    <x v="4"/>
    <x v="4"/>
  </r>
  <r>
    <s v="CLM-120"/>
    <s v="1120"/>
    <s v="Rebecca Shaw"/>
    <s v="45-54"/>
    <n v="50"/>
    <s v="F"/>
    <x v="56"/>
    <x v="4"/>
    <n v="1520"/>
    <x v="4"/>
    <x v="4"/>
  </r>
  <r>
    <s v="CLM-121"/>
    <s v="1121"/>
    <s v="Daniel Hunt"/>
    <s v="35-44"/>
    <n v="41"/>
    <s v="M"/>
    <x v="56"/>
    <x v="0"/>
    <n v="1330"/>
    <x v="0"/>
    <x v="0"/>
  </r>
  <r>
    <s v="CLM-122"/>
    <s v="1122"/>
    <s v="Sophie Lowe"/>
    <s v="35-44"/>
    <n v="38"/>
    <s v="F"/>
    <x v="57"/>
    <x v="0"/>
    <s v="1330"/>
    <x v="0"/>
    <x v="0"/>
  </r>
  <r>
    <s v="CLM-123"/>
    <s v="1123"/>
    <s v="Patrick Boyd"/>
    <s v="45-54"/>
    <n v="46"/>
    <s v="M"/>
    <x v="57"/>
    <x v="1"/>
    <s v="940.00"/>
    <x v="1"/>
    <x v="1"/>
  </r>
  <r>
    <s v="CLM-124"/>
    <s v="1124"/>
    <s v="Emily Mason"/>
    <s v="35-44"/>
    <n v="35"/>
    <s v="F"/>
    <x v="58"/>
    <x v="1"/>
    <n v="940"/>
    <x v="1"/>
    <x v="1"/>
  </r>
  <r>
    <s v="CLM-125"/>
    <s v="1125"/>
    <s v="Shane Payne"/>
    <s v="55+"/>
    <n v="57"/>
    <s v="M"/>
    <x v="58"/>
    <x v="2"/>
    <s v="280.00"/>
    <x v="2"/>
    <x v="2"/>
  </r>
  <r>
    <s v="CLM-126"/>
    <s v="1126"/>
    <s v="Georgia Fraser"/>
    <s v="55+"/>
    <n v="55"/>
    <s v="F"/>
    <x v="59"/>
    <x v="2"/>
    <n v="280"/>
    <x v="2"/>
    <x v="2"/>
  </r>
  <r>
    <s v="CLM-127"/>
    <s v="1127"/>
    <s v="Marcus Nolan"/>
    <s v="25-34"/>
    <n v="33"/>
    <s v="M"/>
    <x v="59"/>
    <x v="3"/>
    <s v="1940.00"/>
    <x v="3"/>
    <x v="3"/>
  </r>
  <r>
    <s v="CLM-128"/>
    <s v="1128"/>
    <s v="Faith Ellis"/>
    <s v="25-34"/>
    <n v="31"/>
    <s v="F"/>
    <x v="60"/>
    <x v="3"/>
    <n v="1940"/>
    <x v="3"/>
    <x v="3"/>
  </r>
  <r>
    <s v="CLM-129"/>
    <s v="1129"/>
    <s v="Shannon Clarke"/>
    <s v="45-54"/>
    <n v="50"/>
    <s v="F"/>
    <x v="61"/>
    <x v="4"/>
    <s v="1700.00"/>
    <x v="4"/>
    <x v="4"/>
  </r>
  <r>
    <s v="CLM-130"/>
    <s v="1130"/>
    <s v="Tyler Brooks"/>
    <s v="45-54"/>
    <n v="48"/>
    <s v="M"/>
    <x v="61"/>
    <x v="4"/>
    <s v="1700"/>
    <x v="3"/>
    <x v="2"/>
  </r>
  <r>
    <s v="CLM-131"/>
    <s v="1131"/>
    <s v="Jordan Payne"/>
    <s v="35-44"/>
    <n v="40"/>
    <s v="M"/>
    <x v="62"/>
    <x v="0"/>
    <s v="860.00"/>
    <x v="0"/>
    <x v="0"/>
  </r>
  <r>
    <s v="CLM-132"/>
    <s v="1132"/>
    <s v="Amelia Doyle"/>
    <s v="35-44"/>
    <n v="36"/>
    <s v="F"/>
    <x v="62"/>
    <x v="0"/>
    <n v="860"/>
    <x v="0"/>
    <x v="0"/>
  </r>
  <r>
    <s v="CLM-133"/>
    <s v="1133"/>
    <s v="Reece Mason"/>
    <s v="55+"/>
    <n v="58"/>
    <s v="M"/>
    <x v="62"/>
    <x v="1"/>
    <s v="800.00"/>
    <x v="1"/>
    <x v="1"/>
  </r>
  <r>
    <s v="CLM-134"/>
    <s v="1134"/>
    <s v="Nina Lowe"/>
    <s v="45-54"/>
    <n v="53"/>
    <s v="F"/>
    <x v="62"/>
    <x v="1"/>
    <s v="800"/>
    <x v="1"/>
    <x v="1"/>
  </r>
  <r>
    <s v="CLM-135"/>
    <s v="1135"/>
    <s v="Calvin Shaw"/>
    <s v="35-44"/>
    <n v="38"/>
    <s v="M"/>
    <x v="63"/>
    <x v="2"/>
    <s v="520.00"/>
    <x v="2"/>
    <x v="2"/>
  </r>
  <r>
    <s v="CLM-136"/>
    <s v="1136"/>
    <s v="Amber Boyd"/>
    <s v="35-44"/>
    <n v="35"/>
    <s v="F"/>
    <x v="63"/>
    <x v="2"/>
    <n v="520"/>
    <x v="2"/>
    <x v="2"/>
  </r>
  <r>
    <s v="CLM-137"/>
    <s v="1137"/>
    <s v="Joel Mason"/>
    <s v="25-34"/>
    <n v="30"/>
    <s v="M"/>
    <x v="64"/>
    <x v="3"/>
    <s v="2450.00"/>
    <x v="3"/>
    <x v="3"/>
  </r>
  <r>
    <s v="CLM-138"/>
    <s v="1138"/>
    <s v="Clara Payne"/>
    <s v="25-34"/>
    <n v="29"/>
    <s v="F"/>
    <x v="64"/>
    <x v="3"/>
    <s v="2450"/>
    <x v="3"/>
    <x v="3"/>
  </r>
  <r>
    <s v="CLM-139"/>
    <s v="1139"/>
    <s v="Martin Ellis"/>
    <s v="45-54"/>
    <n v="54"/>
    <s v="M"/>
    <x v="65"/>
    <x v="4"/>
    <s v="1540.00"/>
    <x v="4"/>
    <x v="4"/>
  </r>
  <r>
    <s v="CLM-140"/>
    <s v="1140"/>
    <s v="Rebecca Nolan"/>
    <s v="45-54"/>
    <n v="51"/>
    <s v="F"/>
    <x v="65"/>
    <x v="4"/>
    <n v="1540"/>
    <x v="4"/>
    <x v="4"/>
  </r>
  <r>
    <s v="CLM-141"/>
    <s v="1141"/>
    <s v="Daniel Brooks"/>
    <s v="35-44"/>
    <n v="42"/>
    <s v="M"/>
    <x v="66"/>
    <x v="0"/>
    <n v="1340"/>
    <x v="0"/>
    <x v="0"/>
  </r>
  <r>
    <s v="CLM-142"/>
    <s v="1142"/>
    <s v="Sophie Mason"/>
    <s v="35-44"/>
    <n v="39"/>
    <s v="F"/>
    <x v="66"/>
    <x v="0"/>
    <s v="1340"/>
    <x v="0"/>
    <x v="0"/>
  </r>
  <r>
    <s v="CLM-143"/>
    <s v="1143"/>
    <s v="Patrick Ellis"/>
    <s v="45-54"/>
    <n v="47"/>
    <s v="M"/>
    <x v="67"/>
    <x v="1"/>
    <s v="950.00"/>
    <x v="1"/>
    <x v="1"/>
  </r>
  <r>
    <s v="CLM-144"/>
    <s v="1144"/>
    <s v="Emily Payne"/>
    <s v="35-44"/>
    <n v="36"/>
    <s v="F"/>
    <x v="67"/>
    <x v="1"/>
    <n v="950"/>
    <x v="1"/>
    <x v="1"/>
  </r>
  <r>
    <s v="CLM-145"/>
    <s v="1145"/>
    <s v="Shane Nolan"/>
    <s v="55+"/>
    <n v="58"/>
    <s v="M"/>
    <x v="68"/>
    <x v="2"/>
    <s v="290.00"/>
    <x v="2"/>
    <x v="2"/>
  </r>
  <r>
    <s v="CLM-146"/>
    <s v="1146"/>
    <s v="Georgia Shaw"/>
    <s v="55+"/>
    <n v="56"/>
    <s v="F"/>
    <x v="68"/>
    <x v="2"/>
    <n v="290"/>
    <x v="2"/>
    <x v="2"/>
  </r>
  <r>
    <s v="CLM-147"/>
    <s v="1147"/>
    <s v="Marcus Clarke"/>
    <s v="25-34"/>
    <n v="34"/>
    <s v="M"/>
    <x v="69"/>
    <x v="3"/>
    <s v="1960.00"/>
    <x v="3"/>
    <x v="3"/>
  </r>
  <r>
    <s v="CLM-148"/>
    <s v="1148"/>
    <s v="Faith Nolan"/>
    <s v="25-34"/>
    <n v="32"/>
    <s v="F"/>
    <x v="69"/>
    <x v="3"/>
    <n v="1960"/>
    <x v="3"/>
    <x v="3"/>
  </r>
  <r>
    <s v="CLM-149"/>
    <s v="1149"/>
    <s v="Shannon Mason"/>
    <s v="45-54"/>
    <n v="51"/>
    <s v="F"/>
    <x v="70"/>
    <x v="4"/>
    <s v="1710.00"/>
    <x v="4"/>
    <x v="4"/>
  </r>
  <r>
    <s v="CLM-150"/>
    <s v="1150"/>
    <s v="Tyler Ellis"/>
    <s v="45-54"/>
    <n v="49"/>
    <s v="M"/>
    <x v="70"/>
    <x v="4"/>
    <s v="1710"/>
    <x v="4"/>
    <x v="4"/>
  </r>
  <r>
    <s v="CLM-151"/>
    <s v="1151"/>
    <s v="Jordan Clarke"/>
    <s v="35-44"/>
    <n v="41"/>
    <s v="M"/>
    <x v="71"/>
    <x v="0"/>
    <s v="870.00"/>
    <x v="0"/>
    <x v="0"/>
  </r>
  <r>
    <s v="CLM-152"/>
    <s v="1152"/>
    <s v="Amelia Nolan"/>
    <s v="35-44"/>
    <n v="37"/>
    <s v="F"/>
    <x v="71"/>
    <x v="0"/>
    <n v="870"/>
    <x v="0"/>
    <x v="0"/>
  </r>
  <r>
    <s v="CLM-153"/>
    <s v="1153"/>
    <s v="Reece Payne"/>
    <s v="55+"/>
    <n v="59"/>
    <s v="M"/>
    <x v="72"/>
    <x v="1"/>
    <s v="810.00"/>
    <x v="1"/>
    <x v="1"/>
  </r>
  <r>
    <s v="CLM-154"/>
    <s v="1154"/>
    <s v="Nina Mason"/>
    <s v="45-54"/>
    <n v="54"/>
    <s v="F"/>
    <x v="73"/>
    <x v="1"/>
    <s v="810"/>
    <x v="1"/>
    <x v="1"/>
  </r>
  <r>
    <s v="CLM-155"/>
    <s v="1155"/>
    <s v="Calvin Ellis"/>
    <s v="35-44"/>
    <n v="39"/>
    <s v="M"/>
    <x v="73"/>
    <x v="2"/>
    <s v="530.00"/>
    <x v="2"/>
    <x v="2"/>
  </r>
  <r>
    <s v="CLM-156"/>
    <s v="1156"/>
    <s v="Amber Nolan"/>
    <s v="35-44"/>
    <n v="36"/>
    <s v="F"/>
    <x v="74"/>
    <x v="2"/>
    <n v="530"/>
    <x v="2"/>
    <x v="2"/>
  </r>
  <r>
    <s v="CLM-157"/>
    <s v="1157"/>
    <s v="Joel Payne"/>
    <s v="25-34"/>
    <n v="31"/>
    <s v="M"/>
    <x v="74"/>
    <x v="3"/>
    <s v="2500.00"/>
    <x v="3"/>
    <x v="3"/>
  </r>
  <r>
    <s v="CLM-158"/>
    <s v="1158"/>
    <s v="Clara Mason"/>
    <s v="25-34"/>
    <n v="30"/>
    <s v="F"/>
    <x v="75"/>
    <x v="3"/>
    <n v="2500"/>
    <x v="3"/>
    <x v="3"/>
  </r>
  <r>
    <s v="CLM-159"/>
    <s v="1159"/>
    <s v="Martin Clarke"/>
    <s v="55+"/>
    <n v="55"/>
    <s v="M"/>
    <x v="75"/>
    <x v="4"/>
    <s v="1560.00"/>
    <x v="4"/>
    <x v="4"/>
  </r>
  <r>
    <s v="CLM-160"/>
    <s v="1160"/>
    <s v="Rebecca Ellis"/>
    <s v="45-54"/>
    <n v="52"/>
    <s v="F"/>
    <x v="76"/>
    <x v="4"/>
    <n v="1560"/>
    <x v="4"/>
    <x v="4"/>
  </r>
  <r>
    <s v="CLM-161"/>
    <s v="1161"/>
    <s v="Daniel Mason"/>
    <s v="35-44"/>
    <n v="43"/>
    <s v="M"/>
    <x v="76"/>
    <x v="0"/>
    <n v="1350"/>
    <x v="0"/>
    <x v="0"/>
  </r>
  <r>
    <s v="CLM-162"/>
    <s v="1162"/>
    <s v="Sophie Clarke"/>
    <s v="35-44"/>
    <n v="40"/>
    <s v="F"/>
    <x v="77"/>
    <x v="0"/>
    <s v="1350"/>
    <x v="0"/>
    <x v="0"/>
  </r>
  <r>
    <s v="CLM-163"/>
    <s v="1163"/>
    <s v="Patrick Nolan"/>
    <s v="45-54"/>
    <n v="48"/>
    <s v="M"/>
    <x v="77"/>
    <x v="1"/>
    <s v="960.00"/>
    <x v="1"/>
    <x v="1"/>
  </r>
  <r>
    <s v="CLM-164"/>
    <s v="1164"/>
    <s v="Emily Ellis"/>
    <s v="35-44"/>
    <n v="37"/>
    <s v="F"/>
    <x v="78"/>
    <x v="1"/>
    <n v="960"/>
    <x v="1"/>
    <x v="1"/>
  </r>
  <r>
    <s v="CLM-165"/>
    <s v="1165"/>
    <s v="Shane Mason"/>
    <s v="55+"/>
    <n v="59"/>
    <s v="M"/>
    <x v="78"/>
    <x v="2"/>
    <s v="300.00"/>
    <x v="2"/>
    <x v="2"/>
  </r>
  <r>
    <s v="CLM-166"/>
    <s v="1166"/>
    <s v="Georgia Ellis"/>
    <s v="55+"/>
    <n v="57"/>
    <s v="F"/>
    <x v="79"/>
    <x v="2"/>
    <n v="300"/>
    <x v="2"/>
    <x v="2"/>
  </r>
  <r>
    <s v="CLM-167"/>
    <s v="1167"/>
    <s v="Marcus Payne"/>
    <s v="35-44"/>
    <n v="35"/>
    <s v="M"/>
    <x v="79"/>
    <x v="3"/>
    <s v="1980.00"/>
    <x v="3"/>
    <x v="3"/>
  </r>
  <r>
    <s v="CLM-168"/>
    <s v="1168"/>
    <s v="Faith Mason"/>
    <s v="25-34"/>
    <n v="33"/>
    <s v="F"/>
    <x v="80"/>
    <x v="3"/>
    <n v="1980"/>
    <x v="3"/>
    <x v="3"/>
  </r>
  <r>
    <s v="CLM-169"/>
    <s v="1169"/>
    <s v="Shannon Ellis"/>
    <s v="45-54"/>
    <n v="52"/>
    <s v="F"/>
    <x v="80"/>
    <x v="4"/>
    <s v="1720.00"/>
    <x v="4"/>
    <x v="4"/>
  </r>
  <r>
    <s v="CLM-170"/>
    <s v="1170"/>
    <s v="Tyler Clarke"/>
    <s v="45-54"/>
    <n v="50"/>
    <s v="M"/>
    <x v="81"/>
    <x v="4"/>
    <n v="1720"/>
    <x v="4"/>
    <x v="4"/>
  </r>
  <r>
    <s v="CLM-171"/>
    <s v="1171"/>
    <s v="Jordan Mason"/>
    <s v="35-44"/>
    <n v="42"/>
    <s v="M"/>
    <x v="81"/>
    <x v="0"/>
    <s v="880.00"/>
    <x v="0"/>
    <x v="0"/>
  </r>
  <r>
    <s v="CLM-172"/>
    <s v="1172"/>
    <s v="Amelia Ellis"/>
    <s v="35-44"/>
    <n v="38"/>
    <s v="F"/>
    <x v="82"/>
    <x v="0"/>
    <n v="880"/>
    <x v="0"/>
    <x v="0"/>
  </r>
  <r>
    <s v="CLM-173"/>
    <s v="1173"/>
    <s v="Reece Clarke"/>
    <s v="55+"/>
    <n v="60"/>
    <s v="M"/>
    <x v="82"/>
    <x v="1"/>
    <s v="820.00"/>
    <x v="1"/>
    <x v="1"/>
  </r>
  <r>
    <s v="CLM-174"/>
    <s v="1174"/>
    <s v="Nina Nolan"/>
    <s v="55+"/>
    <n v="55"/>
    <s v="F"/>
    <x v="83"/>
    <x v="1"/>
    <s v="820"/>
    <x v="1"/>
    <x v="1"/>
  </r>
  <r>
    <s v="CLM-175"/>
    <s v="1175"/>
    <s v="Calvin Mason"/>
    <s v="35-44"/>
    <n v="40"/>
    <s v="M"/>
    <x v="84"/>
    <x v="2"/>
    <s v="540.00"/>
    <x v="2"/>
    <x v="2"/>
  </r>
  <r>
    <s v="CLM-176"/>
    <s v="1176"/>
    <s v="Amber Ellis"/>
    <s v="35-44"/>
    <n v="37"/>
    <s v="F"/>
    <x v="84"/>
    <x v="2"/>
    <n v="540"/>
    <x v="2"/>
    <x v="2"/>
  </r>
  <r>
    <s v="CLM-177"/>
    <s v="1177"/>
    <s v="Joel Clarke"/>
    <s v="25-34"/>
    <n v="32"/>
    <s v="M"/>
    <x v="85"/>
    <x v="3"/>
    <s v="2550.00"/>
    <x v="3"/>
    <x v="3"/>
  </r>
  <r>
    <s v="CLM-178"/>
    <s v="1178"/>
    <s v="Clara Nolan"/>
    <s v="25-34"/>
    <n v="31"/>
    <s v="F"/>
    <x v="85"/>
    <x v="3"/>
    <n v="2550"/>
    <x v="3"/>
    <x v="3"/>
  </r>
  <r>
    <s v="CLM-179"/>
    <s v="1179"/>
    <s v="Martin Mason"/>
    <s v="55+"/>
    <n v="56"/>
    <s v="M"/>
    <x v="86"/>
    <x v="4"/>
    <s v="1580.00"/>
    <x v="4"/>
    <x v="4"/>
  </r>
  <r>
    <s v="CLM-180"/>
    <s v="1180"/>
    <s v="Rebecca Clarke"/>
    <s v="45-54"/>
    <n v="53"/>
    <s v="F"/>
    <x v="86"/>
    <x v="4"/>
    <s v="1580"/>
    <x v="0"/>
    <x v="4"/>
  </r>
  <r>
    <s v="CLM-181"/>
    <s v="1181"/>
    <s v="Daniel Ellis"/>
    <s v="35-44"/>
    <n v="44"/>
    <s v="M"/>
    <x v="87"/>
    <x v="0"/>
    <n v="1360"/>
    <x v="0"/>
    <x v="0"/>
  </r>
  <r>
    <s v="CLM-182"/>
    <s v="1182"/>
    <s v="Sophie Clarke"/>
    <s v="35-44"/>
    <n v="41"/>
    <s v="F"/>
    <x v="87"/>
    <x v="0"/>
    <s v="1360"/>
    <x v="0"/>
    <x v="0"/>
  </r>
  <r>
    <s v="CLM-183"/>
    <s v="1183"/>
    <s v="Patrick Mason"/>
    <s v="45-54"/>
    <n v="49"/>
    <s v="M"/>
    <x v="88"/>
    <x v="1"/>
    <s v="970.00"/>
    <x v="1"/>
    <x v="1"/>
  </r>
  <r>
    <s v="CLM-184"/>
    <s v="1184"/>
    <s v="Emily Nolan"/>
    <s v="35-44"/>
    <n v="38"/>
    <s v="F"/>
    <x v="88"/>
    <x v="1"/>
    <n v="970"/>
    <x v="1"/>
    <x v="1"/>
  </r>
  <r>
    <s v="CLM-185"/>
    <s v="1185"/>
    <s v="Shane Ellis"/>
    <s v="55+"/>
    <n v="60"/>
    <s v="M"/>
    <x v="89"/>
    <x v="2"/>
    <s v="310.00"/>
    <x v="2"/>
    <x v="2"/>
  </r>
  <r>
    <s v="CLM-186"/>
    <s v="1186"/>
    <s v="Georgia Clarke"/>
    <s v="55+"/>
    <n v="58"/>
    <s v="F"/>
    <x v="89"/>
    <x v="2"/>
    <n v="310"/>
    <x v="2"/>
    <x v="2"/>
  </r>
  <r>
    <s v="CLM-187"/>
    <s v="1187"/>
    <s v="Marcus Mason"/>
    <s v="35-44"/>
    <n v="36"/>
    <s v="M"/>
    <x v="90"/>
    <x v="3"/>
    <s v="1990.00"/>
    <x v="3"/>
    <x v="3"/>
  </r>
  <r>
    <s v="CLM-188"/>
    <s v="1188"/>
    <s v="Faith Ellis"/>
    <s v="25-34"/>
    <n v="34"/>
    <s v="F"/>
    <x v="90"/>
    <x v="3"/>
    <s v="1990"/>
    <x v="3"/>
    <x v="3"/>
  </r>
  <r>
    <s v="CLM-189"/>
    <s v="1189"/>
    <s v="Shannon Clarke"/>
    <s v="45-54"/>
    <n v="53"/>
    <s v="F"/>
    <x v="91"/>
    <x v="4"/>
    <s v="1730.00"/>
    <x v="4"/>
    <x v="4"/>
  </r>
  <r>
    <s v="CLM-190"/>
    <s v="1190"/>
    <s v="Tyler Mason"/>
    <s v="45-54"/>
    <n v="51"/>
    <s v="M"/>
    <x v="91"/>
    <x v="4"/>
    <n v="1730"/>
    <x v="4"/>
    <x v="4"/>
  </r>
  <r>
    <s v="CLM-191"/>
    <s v="1191"/>
    <s v="Jordan Ellis"/>
    <s v="35-44"/>
    <n v="43"/>
    <s v="M"/>
    <x v="92"/>
    <x v="0"/>
    <s v="890.00"/>
    <x v="0"/>
    <x v="0"/>
  </r>
  <r>
    <s v="CLM-192"/>
    <s v="1192"/>
    <s v="Amelia Clarke"/>
    <s v="35-44"/>
    <n v="39"/>
    <s v="F"/>
    <x v="92"/>
    <x v="0"/>
    <n v="890"/>
    <x v="0"/>
    <x v="0"/>
  </r>
  <r>
    <s v="CLM-193"/>
    <s v="1193"/>
    <s v="Reece Mason"/>
    <s v="55+"/>
    <n v="61"/>
    <s v="M"/>
    <x v="93"/>
    <x v="1"/>
    <s v="830.00"/>
    <x v="1"/>
    <x v="1"/>
  </r>
  <r>
    <s v="CLM-194"/>
    <s v="1194"/>
    <s v="Nina Ellis"/>
    <s v="55+"/>
    <n v="56"/>
    <s v="F"/>
    <x v="93"/>
    <x v="1"/>
    <s v="830"/>
    <x v="1"/>
    <x v="1"/>
  </r>
  <r>
    <s v="CLM-195"/>
    <s v="1195"/>
    <s v="Calvin Clarke"/>
    <s v="35-44"/>
    <n v="41"/>
    <s v="M"/>
    <x v="94"/>
    <x v="2"/>
    <s v="550.00"/>
    <x v="2"/>
    <x v="2"/>
  </r>
  <r>
    <s v="CLM-196"/>
    <s v="1196"/>
    <s v="Amber Mason"/>
    <s v="35-44"/>
    <n v="38"/>
    <s v="F"/>
    <x v="94"/>
    <x v="2"/>
    <n v="550"/>
    <x v="2"/>
    <x v="2"/>
  </r>
  <r>
    <s v="CLM-197"/>
    <s v="1197"/>
    <s v="Joel Ellis"/>
    <s v="25-34"/>
    <n v="33"/>
    <s v="M"/>
    <x v="95"/>
    <x v="3"/>
    <s v="2600.00"/>
    <x v="3"/>
    <x v="3"/>
  </r>
  <r>
    <s v="CLM-198"/>
    <s v="1198"/>
    <s v="Clara Clarke"/>
    <s v="25-34"/>
    <n v="32"/>
    <s v="F"/>
    <x v="95"/>
    <x v="3"/>
    <n v="2600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errorCaption="0" showError="1" showMissing="0" updatedVersion="6" minRefreshableVersion="3" useAutoFormatting="1" rowGrandTotals="0" colGrandTotals="0" itemPrintTitles="1" createdVersion="6" indent="0" outline="1" outlineData="1" multipleFieldFilters="0" chartFormat="1">
  <location ref="A3:F16" firstHeaderRow="1" firstDataRow="2" firstDataCol="1"/>
  <pivotFields count="12">
    <pivotField showAll="0"/>
    <pivotField showAll="0"/>
    <pivotField showAll="0"/>
    <pivotField showAll="0" defaultSubtotal="0"/>
    <pivotField showAll="0"/>
    <pivotField showAll="0"/>
    <pivotField axis="axisRow" showAll="0" sortType="ascending">
      <items count="369">
        <item x="0"/>
        <item x="367"/>
        <item x="92"/>
        <item x="214"/>
        <item x="336"/>
        <item x="32"/>
        <item x="1"/>
        <item x="183"/>
        <item x="153"/>
        <item x="61"/>
        <item x="122"/>
        <item x="306"/>
        <item x="275"/>
        <item x="245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  <item t="default"/>
      </items>
    </pivotField>
    <pivotField axis="axisCol" showAll="0">
      <items count="6">
        <item x="0"/>
        <item x="3"/>
        <item x="4"/>
        <item x="2"/>
        <item x="1"/>
        <item t="default"/>
      </items>
    </pivotField>
    <pivotField dataField="1" showAll="0"/>
    <pivotField showAll="0"/>
    <pivotField showAll="0"/>
    <pivotField axis="axisRow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</items>
    </pivotField>
  </pivotFields>
  <rowFields count="2">
    <field x="11"/>
    <field x="6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7"/>
  </colFields>
  <colItems count="5">
    <i>
      <x/>
    </i>
    <i>
      <x v="1"/>
    </i>
    <i>
      <x v="2"/>
    </i>
    <i>
      <x v="3"/>
    </i>
    <i>
      <x v="4"/>
    </i>
  </colItems>
  <dataFields count="1">
    <dataField name="Average of claim_amount" fld="8" subtotal="average" baseField="10" baseItem="4"/>
  </dataFields>
  <formats count="21">
    <format dxfId="277">
      <pivotArea collapsedLevelsAreSubtotals="1" fieldPosition="0">
        <references count="2">
          <reference field="4294967294" count="1" selected="0">
            <x v="0"/>
          </reference>
          <reference field="11" count="1">
            <x v="4"/>
          </reference>
        </references>
      </pivotArea>
    </format>
    <format dxfId="276">
      <pivotArea collapsedLevelsAreSubtotals="1" fieldPosition="0">
        <references count="2">
          <reference field="4294967294" count="1" selected="0">
            <x v="0"/>
          </reference>
          <reference field="11" count="1">
            <x v="5"/>
          </reference>
        </references>
      </pivotArea>
    </format>
    <format dxfId="275">
      <pivotArea collapsedLevelsAreSubtotals="1" fieldPosition="0">
        <references count="2">
          <reference field="4294967294" count="1" selected="0">
            <x v="0"/>
          </reference>
          <reference field="11" count="1">
            <x v="5"/>
          </reference>
        </references>
      </pivotArea>
    </format>
    <format dxfId="274">
      <pivotArea collapsedLevelsAreSubtotals="1" fieldPosition="0">
        <references count="2">
          <reference field="4294967294" count="1" selected="0">
            <x v="0"/>
          </reference>
          <reference field="11" count="1">
            <x v="5"/>
          </reference>
        </references>
      </pivotArea>
    </format>
    <format dxfId="273">
      <pivotArea collapsedLevelsAreSubtotals="1" fieldPosition="0">
        <references count="2">
          <reference field="4294967294" count="1" selected="0">
            <x v="0"/>
          </reference>
          <reference field="11" count="1">
            <x v="5"/>
          </reference>
        </references>
      </pivotArea>
    </format>
    <format dxfId="272">
      <pivotArea collapsedLevelsAreSubtotals="1" fieldPosition="0">
        <references count="2">
          <reference field="4294967294" count="1" selected="0">
            <x v="0"/>
          </reference>
          <reference field="11" count="1">
            <x v="6"/>
          </reference>
        </references>
      </pivotArea>
    </format>
    <format dxfId="271">
      <pivotArea collapsedLevelsAreSubtotals="1" fieldPosition="0">
        <references count="2">
          <reference field="4294967294" count="1" selected="0">
            <x v="0"/>
          </reference>
          <reference field="11" count="1">
            <x v="6"/>
          </reference>
        </references>
      </pivotArea>
    </format>
    <format dxfId="270">
      <pivotArea collapsedLevelsAreSubtotals="1" fieldPosition="0">
        <references count="2">
          <reference field="4294967294" count="1" selected="0">
            <x v="0"/>
          </reference>
          <reference field="11" count="1">
            <x v="6"/>
          </reference>
        </references>
      </pivotArea>
    </format>
    <format dxfId="269">
      <pivotArea collapsedLevelsAreSubtotals="1" fieldPosition="0">
        <references count="2">
          <reference field="4294967294" count="1" selected="0">
            <x v="0"/>
          </reference>
          <reference field="11" count="1">
            <x v="6"/>
          </reference>
        </references>
      </pivotArea>
    </format>
    <format dxfId="268">
      <pivotArea collapsedLevelsAreSubtotals="1" fieldPosition="0">
        <references count="2">
          <reference field="4294967294" count="1" selected="0">
            <x v="0"/>
          </reference>
          <reference field="11" count="1">
            <x v="7"/>
          </reference>
        </references>
      </pivotArea>
    </format>
    <format dxfId="267">
      <pivotArea collapsedLevelsAreSubtotals="1" fieldPosition="0">
        <references count="2">
          <reference field="4294967294" count="1" selected="0">
            <x v="0"/>
          </reference>
          <reference field="11" count="1">
            <x v="8"/>
          </reference>
        </references>
      </pivotArea>
    </format>
    <format dxfId="266">
      <pivotArea collapsedLevelsAreSubtotals="1" fieldPosition="0">
        <references count="2">
          <reference field="4294967294" count="1" selected="0">
            <x v="0"/>
          </reference>
          <reference field="11" count="1">
            <x v="9"/>
          </reference>
        </references>
      </pivotArea>
    </format>
    <format dxfId="265">
      <pivotArea collapsedLevelsAreSubtotals="1" fieldPosition="0">
        <references count="2">
          <reference field="4294967294" count="1" selected="0">
            <x v="0"/>
          </reference>
          <reference field="11" count="1">
            <x v="9"/>
          </reference>
        </references>
      </pivotArea>
    </format>
    <format dxfId="264">
      <pivotArea collapsedLevelsAreSubtotals="1" fieldPosition="0">
        <references count="2">
          <reference field="4294967294" count="1" selected="0">
            <x v="0"/>
          </reference>
          <reference field="11" count="1">
            <x v="9"/>
          </reference>
        </references>
      </pivotArea>
    </format>
    <format dxfId="263">
      <pivotArea collapsedLevelsAreSubtotals="1" fieldPosition="0">
        <references count="2">
          <reference field="4294967294" count="1" selected="0">
            <x v="0"/>
          </reference>
          <reference field="11" count="1">
            <x v="9"/>
          </reference>
        </references>
      </pivotArea>
    </format>
    <format dxfId="262">
      <pivotArea collapsedLevelsAreSubtotals="1" fieldPosition="0">
        <references count="2">
          <reference field="4294967294" count="1" selected="0">
            <x v="0"/>
          </reference>
          <reference field="11" count="1">
            <x v="10"/>
          </reference>
        </references>
      </pivotArea>
    </format>
    <format dxfId="261">
      <pivotArea collapsedLevelsAreSubtotals="1" fieldPosition="0">
        <references count="2">
          <reference field="4294967294" count="1" selected="0">
            <x v="0"/>
          </reference>
          <reference field="11" count="1">
            <x v="11"/>
          </reference>
        </references>
      </pivotArea>
    </format>
    <format dxfId="260">
      <pivotArea collapsedLevelsAreSubtotals="1" fieldPosition="0">
        <references count="2">
          <reference field="4294967294" count="1" selected="0">
            <x v="0"/>
          </reference>
          <reference field="11" count="1">
            <x v="11"/>
          </reference>
        </references>
      </pivotArea>
    </format>
    <format dxfId="259">
      <pivotArea collapsedLevelsAreSubtotals="1" fieldPosition="0">
        <references count="2">
          <reference field="4294967294" count="1" selected="0">
            <x v="0"/>
          </reference>
          <reference field="11" count="1">
            <x v="11"/>
          </reference>
        </references>
      </pivotArea>
    </format>
    <format dxfId="258">
      <pivotArea collapsedLevelsAreSubtotals="1" fieldPosition="0">
        <references count="2">
          <reference field="4294967294" count="1" selected="0">
            <x v="0"/>
          </reference>
          <reference field="11" count="1">
            <x v="11"/>
          </reference>
        </references>
      </pivotArea>
    </format>
    <format dxfId="257">
      <pivotArea collapsedLevelsAreSubtotals="1" fieldPosition="0">
        <references count="2">
          <reference field="4294967294" count="1" selected="0">
            <x v="0"/>
          </reference>
          <reference field="11" count="1">
            <x v="12"/>
          </reference>
        </references>
      </pivotArea>
    </format>
  </formats>
  <chartFormats count="5"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1">
  <location ref="A3:D8" firstHeaderRow="0" firstDataRow="1" firstDataCol="1"/>
  <pivotFields count="12">
    <pivotField showAll="0"/>
    <pivotField showAll="0"/>
    <pivotField showAll="0"/>
    <pivotField showAll="0" defaultSubtotal="0"/>
    <pivotField showAll="0"/>
    <pivotField showAll="0"/>
    <pivotField numFmtId="14" showAll="0"/>
    <pivotField showAll="0"/>
    <pivotField dataField="1"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 defaultSubtotal="0"/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laim_amount2" fld="8" baseField="8" baseItem="0"/>
    <dataField name="Count of claim_amount" fld="8" subtotal="count" baseField="0" baseItem="0"/>
    <dataField name="Average of claim_amount2" fld="8" subtotal="average" baseField="8" baseItem="0"/>
  </dataFields>
  <formats count="9">
    <format dxfId="256">
      <pivotArea collapsedLevelsAreSubtotals="1" fieldPosition="0">
        <references count="2">
          <reference field="4294967294" count="1" selected="0">
            <x v="2"/>
          </reference>
          <reference field="9" count="1">
            <x v="2"/>
          </reference>
        </references>
      </pivotArea>
    </format>
    <format dxfId="255">
      <pivotArea collapsedLevelsAreSubtotals="1" fieldPosition="0">
        <references count="2">
          <reference field="4294967294" count="1" selected="0">
            <x v="2"/>
          </reference>
          <reference field="9" count="1">
            <x v="2"/>
          </reference>
        </references>
      </pivotArea>
    </format>
    <format dxfId="254">
      <pivotArea collapsedLevelsAreSubtotals="1" fieldPosition="0">
        <references count="2">
          <reference field="4294967294" count="1" selected="0">
            <x v="2"/>
          </reference>
          <reference field="9" count="1">
            <x v="2"/>
          </reference>
        </references>
      </pivotArea>
    </format>
    <format dxfId="253">
      <pivotArea collapsedLevelsAreSubtotals="1" fieldPosition="0">
        <references count="2">
          <reference field="4294967294" count="1" selected="0">
            <x v="2"/>
          </reference>
          <reference field="9" count="1">
            <x v="2"/>
          </reference>
        </references>
      </pivotArea>
    </format>
    <format dxfId="252">
      <pivotArea collapsedLevelsAreSubtotals="1" fieldPosition="0">
        <references count="2">
          <reference field="4294967294" count="1" selected="0">
            <x v="2"/>
          </reference>
          <reference field="9" count="1">
            <x v="3"/>
          </reference>
        </references>
      </pivotArea>
    </format>
    <format dxfId="251">
      <pivotArea collapsedLevelsAreSubtotals="1" fieldPosition="0">
        <references count="2">
          <reference field="4294967294" count="1" selected="0">
            <x v="2"/>
          </reference>
          <reference field="9" count="1">
            <x v="3"/>
          </reference>
        </references>
      </pivotArea>
    </format>
    <format dxfId="250">
      <pivotArea collapsedLevelsAreSubtotals="1" fieldPosition="0">
        <references count="2">
          <reference field="4294967294" count="1" selected="0">
            <x v="2"/>
          </reference>
          <reference field="9" count="1">
            <x v="3"/>
          </reference>
        </references>
      </pivotArea>
    </format>
    <format dxfId="249">
      <pivotArea collapsedLevelsAreSubtotals="1" fieldPosition="0">
        <references count="2">
          <reference field="4294967294" count="1" selected="0">
            <x v="2"/>
          </reference>
          <reference field="9" count="1">
            <x v="3"/>
          </reference>
        </references>
      </pivotArea>
    </format>
    <format dxfId="248">
      <pivotArea collapsedLevelsAreSubtotals="1" fieldPosition="0">
        <references count="2">
          <reference field="4294967294" count="1" selected="0">
            <x v="2"/>
          </reference>
          <reference field="9" count="1">
            <x v="4"/>
          </reference>
        </references>
      </pivotArea>
    </format>
  </formats>
  <chartFormats count="8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2">
  <location ref="A3:C8" firstHeaderRow="0" firstDataRow="1" firstDataCol="1"/>
  <pivotFields count="12">
    <pivotField showAll="0"/>
    <pivotField showAll="0"/>
    <pivotField showAll="0"/>
    <pivotField showAll="0" defaultSubtotal="0"/>
    <pivotField showAll="0"/>
    <pivotField showAll="0"/>
    <pivotField numFmtId="14" showAll="0"/>
    <pivotField axis="axisRow" showAll="0">
      <items count="6">
        <item x="0"/>
        <item x="3"/>
        <item x="4"/>
        <item x="2"/>
        <item x="1"/>
        <item t="default"/>
      </items>
    </pivotField>
    <pivotField dataField="1" showAll="0"/>
    <pivotField showAll="0">
      <items count="6">
        <item x="2"/>
        <item x="1"/>
        <item x="3"/>
        <item x="4"/>
        <item x="0"/>
        <item t="default"/>
      </items>
    </pivotField>
    <pivotField showAll="0"/>
    <pivotField showAll="0" defaultSubtotal="0"/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Count of claim_amount" fld="8" subtotal="count" baseField="0" baseItem="0"/>
    <dataField name="Average of claim_amount2" fld="8" subtotal="average" baseField="6" baseItem="0"/>
  </dataFields>
  <formats count="8">
    <format dxfId="247">
      <pivotArea collapsedLevelsAreSubtotals="1" fieldPosition="0">
        <references count="2">
          <reference field="4294967294" count="1" selected="0">
            <x v="1"/>
          </reference>
          <reference field="7" count="1">
            <x v="1"/>
          </reference>
        </references>
      </pivotArea>
    </format>
    <format dxfId="246">
      <pivotArea collapsedLevelsAreSubtotals="1" fieldPosition="0">
        <references count="2">
          <reference field="4294967294" count="1" selected="0">
            <x v="1"/>
          </reference>
          <reference field="7" count="1">
            <x v="1"/>
          </reference>
        </references>
      </pivotArea>
    </format>
    <format dxfId="245">
      <pivotArea collapsedLevelsAreSubtotals="1" fieldPosition="0">
        <references count="2">
          <reference field="4294967294" count="1" selected="0">
            <x v="1"/>
          </reference>
          <reference field="7" count="1">
            <x v="1"/>
          </reference>
        </references>
      </pivotArea>
    </format>
    <format dxfId="244">
      <pivotArea collapsedLevelsAreSubtotals="1" fieldPosition="0">
        <references count="2">
          <reference field="4294967294" count="1" selected="0">
            <x v="1"/>
          </reference>
          <reference field="7" count="1">
            <x v="2"/>
          </reference>
        </references>
      </pivotArea>
    </format>
    <format dxfId="243">
      <pivotArea collapsedLevelsAreSubtotals="1" fieldPosition="0">
        <references count="2">
          <reference field="4294967294" count="1" selected="0">
            <x v="1"/>
          </reference>
          <reference field="7" count="1">
            <x v="2"/>
          </reference>
        </references>
      </pivotArea>
    </format>
    <format dxfId="242">
      <pivotArea collapsedLevelsAreSubtotals="1" fieldPosition="0">
        <references count="2">
          <reference field="4294967294" count="1" selected="0">
            <x v="1"/>
          </reference>
          <reference field="7" count="1">
            <x v="2"/>
          </reference>
        </references>
      </pivotArea>
    </format>
    <format dxfId="241">
      <pivotArea collapsedLevelsAreSubtotals="1" fieldPosition="0">
        <references count="2">
          <reference field="4294967294" count="1" selected="0">
            <x v="1"/>
          </reference>
          <reference field="7" count="1">
            <x v="2"/>
          </reference>
        </references>
      </pivotArea>
    </format>
    <format dxfId="70">
      <pivotArea collapsedLevelsAreSubtotals="1" fieldPosition="0">
        <references count="2">
          <reference field="4294967294" count="1" selected="0">
            <x v="1"/>
          </reference>
          <reference field="7" count="1">
            <x v="1"/>
          </reference>
        </references>
      </pivotArea>
    </format>
  </format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9" firstHeaderRow="0" firstDataRow="1" firstDataCol="1"/>
  <pivotFields count="12">
    <pivotField showAll="0"/>
    <pivotField showAll="0"/>
    <pivotField showAll="0"/>
    <pivotField showAll="0" defaultSubtotal="0"/>
    <pivotField showAll="0"/>
    <pivotField showAll="0"/>
    <pivotField numFmtId="14" showAll="0"/>
    <pivotField showAll="0"/>
    <pivotField dataField="1"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 defaultSubtota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laim_amount" fld="8" subtotal="count" baseField="0" baseItem="0"/>
    <dataField name="Sum of claim_amount2" fld="8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3:F9" firstHeaderRow="1" firstDataRow="2" firstDataCol="1"/>
  <pivotFields count="13">
    <pivotField showAll="0"/>
    <pivotField showAll="0"/>
    <pivotField showAll="0"/>
    <pivotField axis="axisRow" showAll="0" sortType="descending">
      <items count="6">
        <item x="2"/>
        <item x="0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>
      <items count="7">
        <item x="0"/>
        <item x="3"/>
        <item x="4"/>
        <item x="2"/>
        <item x="1"/>
        <item h="1" x="5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3"/>
  </rowFields>
  <rowItems count="5">
    <i>
      <x v="2"/>
    </i>
    <i>
      <x v="1"/>
    </i>
    <i>
      <x v="3"/>
    </i>
    <i>
      <x v="4"/>
    </i>
    <i>
      <x/>
    </i>
  </rowItems>
  <colFields count="1">
    <field x="7"/>
  </colFields>
  <colItems count="5">
    <i>
      <x/>
    </i>
    <i>
      <x v="1"/>
    </i>
    <i>
      <x v="2"/>
    </i>
    <i>
      <x v="3"/>
    </i>
    <i>
      <x v="4"/>
    </i>
  </colItems>
  <dataFields count="1">
    <dataField name="Count of claim_amount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claims_raw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laims_raw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6"/>
  <sheetViews>
    <sheetView tabSelected="1" topLeftCell="A4" workbookViewId="0">
      <selection activeCell="T20" sqref="T20"/>
    </sheetView>
  </sheetViews>
  <sheetFormatPr defaultRowHeight="14.5" x14ac:dyDescent="0.35"/>
  <cols>
    <col min="1" max="1" width="22.453125" customWidth="1"/>
    <col min="2" max="2" width="15.26953125" customWidth="1"/>
    <col min="3" max="4" width="7.36328125" customWidth="1"/>
    <col min="5" max="6" width="6.36328125" customWidth="1"/>
    <col min="7" max="7" width="22.453125" bestFit="1" customWidth="1"/>
    <col min="8" max="8" width="6.36328125" customWidth="1"/>
    <col min="9" max="9" width="4.81640625" customWidth="1"/>
    <col min="10" max="10" width="5.81640625" customWidth="1"/>
    <col min="11" max="11" width="5.90625" customWidth="1"/>
  </cols>
  <sheetData>
    <row r="3" spans="1:6" x14ac:dyDescent="0.35">
      <c r="A3" s="5" t="s">
        <v>780</v>
      </c>
      <c r="B3" s="5" t="s">
        <v>781</v>
      </c>
    </row>
    <row r="4" spans="1:6" x14ac:dyDescent="0.35">
      <c r="A4" s="5" t="s">
        <v>764</v>
      </c>
      <c r="B4" t="s">
        <v>755</v>
      </c>
      <c r="C4" t="s">
        <v>756</v>
      </c>
      <c r="D4" t="s">
        <v>757</v>
      </c>
      <c r="E4" t="s">
        <v>32</v>
      </c>
      <c r="F4" t="s">
        <v>758</v>
      </c>
    </row>
    <row r="5" spans="1:6" x14ac:dyDescent="0.35">
      <c r="A5" s="6" t="s">
        <v>767</v>
      </c>
      <c r="B5" s="7">
        <v>1200</v>
      </c>
      <c r="C5" s="7">
        <v>0</v>
      </c>
      <c r="D5" s="7">
        <v>0</v>
      </c>
      <c r="E5" s="7">
        <v>0</v>
      </c>
      <c r="F5" s="7">
        <v>950</v>
      </c>
    </row>
    <row r="6" spans="1:6" x14ac:dyDescent="0.35">
      <c r="A6" s="6" t="s">
        <v>768</v>
      </c>
      <c r="B6" s="7">
        <v>900</v>
      </c>
      <c r="C6" s="7">
        <v>2500</v>
      </c>
      <c r="D6" s="7">
        <v>1</v>
      </c>
      <c r="E6" s="7">
        <v>200</v>
      </c>
      <c r="F6" s="7">
        <v>0</v>
      </c>
    </row>
    <row r="7" spans="1:6" x14ac:dyDescent="0.35">
      <c r="A7" s="6" t="s">
        <v>769</v>
      </c>
      <c r="B7" s="7">
        <v>1075</v>
      </c>
      <c r="C7" s="7">
        <v>2000</v>
      </c>
      <c r="D7" s="7">
        <v>1550</v>
      </c>
      <c r="E7" s="7">
        <v>250</v>
      </c>
      <c r="F7" s="7">
        <v>900</v>
      </c>
    </row>
    <row r="8" spans="1:6" x14ac:dyDescent="0.35">
      <c r="A8" s="6" t="s">
        <v>770</v>
      </c>
      <c r="B8" s="8">
        <v>1035</v>
      </c>
      <c r="C8" s="8">
        <v>2025</v>
      </c>
      <c r="D8" s="8">
        <v>1700</v>
      </c>
      <c r="E8" s="8">
        <v>387.5</v>
      </c>
      <c r="F8" s="8">
        <v>880</v>
      </c>
    </row>
    <row r="9" spans="1:6" x14ac:dyDescent="0.35">
      <c r="A9" s="6" t="s">
        <v>771</v>
      </c>
      <c r="B9" s="8">
        <v>1055</v>
      </c>
      <c r="C9" s="8">
        <v>2025</v>
      </c>
      <c r="D9" s="8">
        <v>1600</v>
      </c>
      <c r="E9" s="8">
        <v>370</v>
      </c>
      <c r="F9" s="8">
        <v>910</v>
      </c>
    </row>
    <row r="10" spans="1:6" x14ac:dyDescent="0.35">
      <c r="A10" s="6" t="s">
        <v>772</v>
      </c>
      <c r="B10" s="8">
        <v>1075</v>
      </c>
      <c r="C10" s="8">
        <v>2100</v>
      </c>
      <c r="D10" s="8">
        <v>1565</v>
      </c>
      <c r="E10" s="8">
        <v>377.5</v>
      </c>
      <c r="F10" s="8">
        <v>920</v>
      </c>
    </row>
    <row r="11" spans="1:6" x14ac:dyDescent="0.35">
      <c r="A11" s="6" t="s">
        <v>773</v>
      </c>
      <c r="B11" s="8">
        <v>1085</v>
      </c>
      <c r="C11" s="8">
        <v>2135</v>
      </c>
      <c r="D11" s="8">
        <v>1500</v>
      </c>
      <c r="E11" s="8">
        <v>382.5</v>
      </c>
      <c r="F11" s="8">
        <v>930</v>
      </c>
    </row>
    <row r="12" spans="1:6" x14ac:dyDescent="0.35">
      <c r="A12" s="6" t="s">
        <v>774</v>
      </c>
      <c r="B12" s="8">
        <v>1095</v>
      </c>
      <c r="C12" s="8">
        <v>2170</v>
      </c>
      <c r="D12" s="8">
        <v>1520</v>
      </c>
      <c r="E12" s="8">
        <v>395</v>
      </c>
      <c r="F12" s="8">
        <v>940</v>
      </c>
    </row>
    <row r="13" spans="1:6" x14ac:dyDescent="0.35">
      <c r="A13" s="6" t="s">
        <v>775</v>
      </c>
      <c r="B13" s="8">
        <v>1105</v>
      </c>
      <c r="C13" s="8">
        <v>1960</v>
      </c>
      <c r="D13" s="8">
        <v>1540</v>
      </c>
      <c r="E13" s="8">
        <v>405</v>
      </c>
      <c r="F13" s="8">
        <v>950</v>
      </c>
    </row>
    <row r="14" spans="1:6" x14ac:dyDescent="0.35">
      <c r="A14" s="6" t="s">
        <v>776</v>
      </c>
      <c r="B14" s="8">
        <v>1350</v>
      </c>
      <c r="C14" s="8">
        <v>2240</v>
      </c>
      <c r="D14" s="8">
        <v>1640</v>
      </c>
      <c r="E14" s="8">
        <v>415</v>
      </c>
      <c r="F14" s="8">
        <v>960</v>
      </c>
    </row>
    <row r="15" spans="1:6" x14ac:dyDescent="0.35">
      <c r="A15" s="6" t="s">
        <v>777</v>
      </c>
      <c r="B15" s="8">
        <v>1120</v>
      </c>
      <c r="C15" s="8">
        <v>2550</v>
      </c>
      <c r="D15" s="8">
        <v>0</v>
      </c>
      <c r="E15" s="8">
        <v>425</v>
      </c>
      <c r="F15" s="8">
        <v>970</v>
      </c>
    </row>
    <row r="16" spans="1:6" x14ac:dyDescent="0.35">
      <c r="A16" s="6" t="s">
        <v>778</v>
      </c>
      <c r="B16" s="8">
        <v>890</v>
      </c>
      <c r="C16" s="8">
        <v>2600</v>
      </c>
      <c r="D16" s="8">
        <v>1730</v>
      </c>
      <c r="E16" s="8">
        <v>550</v>
      </c>
      <c r="F16" s="8">
        <v>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O23" sqref="O23"/>
    </sheetView>
  </sheetViews>
  <sheetFormatPr defaultRowHeight="14.5" x14ac:dyDescent="0.35"/>
  <cols>
    <col min="1" max="1" width="12.36328125" bestFit="1" customWidth="1"/>
    <col min="2" max="2" width="20.26953125" customWidth="1"/>
    <col min="3" max="3" width="20.7265625" customWidth="1"/>
    <col min="4" max="4" width="23.453125" bestFit="1" customWidth="1"/>
  </cols>
  <sheetData>
    <row r="3" spans="1:4" x14ac:dyDescent="0.35">
      <c r="A3" s="5" t="s">
        <v>764</v>
      </c>
      <c r="B3" t="s">
        <v>782</v>
      </c>
      <c r="C3" t="s">
        <v>766</v>
      </c>
      <c r="D3" t="s">
        <v>779</v>
      </c>
    </row>
    <row r="4" spans="1:4" x14ac:dyDescent="0.35">
      <c r="A4" s="6" t="s">
        <v>34</v>
      </c>
      <c r="B4" s="7">
        <v>7315</v>
      </c>
      <c r="C4" s="7">
        <v>39</v>
      </c>
      <c r="D4" s="7">
        <v>385</v>
      </c>
    </row>
    <row r="5" spans="1:4" x14ac:dyDescent="0.35">
      <c r="A5" s="6" t="s">
        <v>24</v>
      </c>
      <c r="B5" s="7">
        <v>9310</v>
      </c>
      <c r="C5" s="7">
        <v>40</v>
      </c>
      <c r="D5" s="7">
        <v>931</v>
      </c>
    </row>
    <row r="6" spans="1:4" x14ac:dyDescent="0.35">
      <c r="A6" s="6" t="s">
        <v>43</v>
      </c>
      <c r="B6" s="7">
        <v>37000</v>
      </c>
      <c r="C6" s="7">
        <v>41</v>
      </c>
      <c r="D6" s="8">
        <v>2176.4705882352941</v>
      </c>
    </row>
    <row r="7" spans="1:4" x14ac:dyDescent="0.35">
      <c r="A7" s="6" t="s">
        <v>55</v>
      </c>
      <c r="B7" s="7">
        <v>20701</v>
      </c>
      <c r="C7" s="7">
        <v>36</v>
      </c>
      <c r="D7" s="8">
        <v>1478.6428571428571</v>
      </c>
    </row>
    <row r="8" spans="1:4" x14ac:dyDescent="0.35">
      <c r="A8" s="6" t="s">
        <v>15</v>
      </c>
      <c r="B8" s="7">
        <v>21630</v>
      </c>
      <c r="C8" s="7">
        <v>42</v>
      </c>
      <c r="D8" s="8">
        <v>1081.5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F7" sqref="F7"/>
    </sheetView>
  </sheetViews>
  <sheetFormatPr defaultRowHeight="14.5" x14ac:dyDescent="0.35"/>
  <cols>
    <col min="1" max="1" width="12.36328125" customWidth="1"/>
    <col min="2" max="2" width="20.7265625" bestFit="1" customWidth="1"/>
    <col min="3" max="4" width="23.453125" bestFit="1" customWidth="1"/>
  </cols>
  <sheetData>
    <row r="3" spans="1:3" x14ac:dyDescent="0.35">
      <c r="A3" s="5" t="s">
        <v>764</v>
      </c>
      <c r="B3" t="s">
        <v>766</v>
      </c>
      <c r="C3" t="s">
        <v>779</v>
      </c>
    </row>
    <row r="4" spans="1:3" x14ac:dyDescent="0.35">
      <c r="A4" s="6" t="s">
        <v>755</v>
      </c>
      <c r="B4" s="7">
        <v>41</v>
      </c>
      <c r="C4" s="7">
        <v>1081.5</v>
      </c>
    </row>
    <row r="5" spans="1:3" x14ac:dyDescent="0.35">
      <c r="A5" s="6" t="s">
        <v>756</v>
      </c>
      <c r="B5" s="7">
        <v>40</v>
      </c>
      <c r="C5" s="8">
        <v>2176.4705882352941</v>
      </c>
    </row>
    <row r="6" spans="1:3" x14ac:dyDescent="0.35">
      <c r="A6" s="6" t="s">
        <v>757</v>
      </c>
      <c r="B6" s="7">
        <v>38</v>
      </c>
      <c r="C6" s="8">
        <v>1478.6428571428571</v>
      </c>
    </row>
    <row r="7" spans="1:3" x14ac:dyDescent="0.35">
      <c r="A7" s="6" t="s">
        <v>32</v>
      </c>
      <c r="B7" s="7">
        <v>39</v>
      </c>
      <c r="C7" s="7">
        <v>385</v>
      </c>
    </row>
    <row r="8" spans="1:3" x14ac:dyDescent="0.35">
      <c r="A8" s="6" t="s">
        <v>758</v>
      </c>
      <c r="B8" s="7">
        <v>40</v>
      </c>
      <c r="C8" s="7">
        <v>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20.7265625" bestFit="1" customWidth="1"/>
    <col min="3" max="3" width="20.26953125" customWidth="1"/>
  </cols>
  <sheetData>
    <row r="3" spans="1:3" x14ac:dyDescent="0.35">
      <c r="A3" s="5" t="s">
        <v>764</v>
      </c>
      <c r="B3" t="s">
        <v>766</v>
      </c>
      <c r="C3" t="s">
        <v>782</v>
      </c>
    </row>
    <row r="4" spans="1:3" x14ac:dyDescent="0.35">
      <c r="A4" s="6" t="s">
        <v>759</v>
      </c>
      <c r="B4" s="7">
        <v>41</v>
      </c>
      <c r="C4" s="7">
        <v>21630</v>
      </c>
    </row>
    <row r="5" spans="1:3" x14ac:dyDescent="0.35">
      <c r="A5" s="6" t="s">
        <v>748</v>
      </c>
      <c r="B5" s="7">
        <v>37</v>
      </c>
      <c r="C5" s="7">
        <v>20701</v>
      </c>
    </row>
    <row r="6" spans="1:3" x14ac:dyDescent="0.35">
      <c r="A6" s="6" t="s">
        <v>760</v>
      </c>
      <c r="B6" s="7">
        <v>40</v>
      </c>
      <c r="C6" s="7">
        <v>7315</v>
      </c>
    </row>
    <row r="7" spans="1:3" x14ac:dyDescent="0.35">
      <c r="A7" s="6" t="s">
        <v>761</v>
      </c>
      <c r="B7" s="7">
        <v>40</v>
      </c>
      <c r="C7" s="7">
        <v>9310</v>
      </c>
    </row>
    <row r="8" spans="1:3" x14ac:dyDescent="0.35">
      <c r="A8" s="6" t="s">
        <v>762</v>
      </c>
      <c r="B8" s="7">
        <v>40</v>
      </c>
      <c r="C8" s="7">
        <v>37000</v>
      </c>
    </row>
    <row r="9" spans="1:3" x14ac:dyDescent="0.35">
      <c r="A9" s="6" t="s">
        <v>765</v>
      </c>
      <c r="B9" s="7">
        <v>198</v>
      </c>
      <c r="C9" s="7">
        <v>95956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"/>
  <sheetViews>
    <sheetView workbookViewId="0">
      <selection activeCell="B8" sqref="B8"/>
    </sheetView>
  </sheetViews>
  <sheetFormatPr defaultRowHeight="14.5" x14ac:dyDescent="0.35"/>
  <cols>
    <col min="1" max="1" width="20.7265625" bestFit="1" customWidth="1"/>
    <col min="2" max="2" width="15.26953125" bestFit="1" customWidth="1"/>
    <col min="3" max="3" width="6.36328125" bestFit="1" customWidth="1"/>
    <col min="4" max="4" width="3.7265625" bestFit="1" customWidth="1"/>
    <col min="5" max="5" width="3.6328125" bestFit="1" customWidth="1"/>
    <col min="6" max="6" width="5.90625" bestFit="1" customWidth="1"/>
    <col min="7" max="7" width="6.7265625" bestFit="1" customWidth="1"/>
  </cols>
  <sheetData>
    <row r="3" spans="1:6" x14ac:dyDescent="0.35">
      <c r="A3" s="5" t="s">
        <v>766</v>
      </c>
      <c r="B3" s="5" t="s">
        <v>781</v>
      </c>
    </row>
    <row r="4" spans="1:6" x14ac:dyDescent="0.35">
      <c r="A4" s="5" t="s">
        <v>764</v>
      </c>
      <c r="B4" t="s">
        <v>755</v>
      </c>
      <c r="C4" t="s">
        <v>756</v>
      </c>
      <c r="D4" t="s">
        <v>757</v>
      </c>
      <c r="E4" t="s">
        <v>32</v>
      </c>
      <c r="F4" t="s">
        <v>758</v>
      </c>
    </row>
    <row r="5" spans="1:6" x14ac:dyDescent="0.35">
      <c r="A5" s="6" t="s">
        <v>788</v>
      </c>
      <c r="B5" s="7">
        <v>31</v>
      </c>
      <c r="C5" s="7">
        <v>4</v>
      </c>
      <c r="D5" s="7">
        <v>5</v>
      </c>
      <c r="E5" s="7">
        <v>11</v>
      </c>
      <c r="F5" s="7">
        <v>9</v>
      </c>
    </row>
    <row r="6" spans="1:6" x14ac:dyDescent="0.35">
      <c r="A6" s="6" t="s">
        <v>787</v>
      </c>
      <c r="B6" s="7">
        <v>9</v>
      </c>
      <c r="C6" s="7">
        <v>34</v>
      </c>
      <c r="D6" s="7"/>
      <c r="E6" s="7">
        <v>7</v>
      </c>
      <c r="F6" s="7">
        <v>7</v>
      </c>
    </row>
    <row r="7" spans="1:6" x14ac:dyDescent="0.35">
      <c r="A7" s="6" t="s">
        <v>789</v>
      </c>
      <c r="B7" s="7">
        <v>1</v>
      </c>
      <c r="C7" s="7"/>
      <c r="D7" s="7">
        <v>31</v>
      </c>
      <c r="E7" s="7">
        <v>9</v>
      </c>
      <c r="F7" s="7">
        <v>15</v>
      </c>
    </row>
    <row r="8" spans="1:6" x14ac:dyDescent="0.35">
      <c r="A8" s="6" t="s">
        <v>790</v>
      </c>
      <c r="B8" s="7"/>
      <c r="C8" s="7">
        <v>1</v>
      </c>
      <c r="D8" s="7">
        <v>2</v>
      </c>
      <c r="E8" s="7">
        <v>11</v>
      </c>
      <c r="F8" s="7">
        <v>9</v>
      </c>
    </row>
    <row r="9" spans="1:6" x14ac:dyDescent="0.35">
      <c r="A9" s="6" t="s">
        <v>786</v>
      </c>
      <c r="B9" s="7"/>
      <c r="C9" s="7">
        <v>1</v>
      </c>
      <c r="D9" s="7"/>
      <c r="E9" s="7">
        <v>1</v>
      </c>
      <c r="F9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2"/>
  <sheetViews>
    <sheetView workbookViewId="0">
      <selection activeCell="Q9" sqref="Q9"/>
    </sheetView>
  </sheetViews>
  <sheetFormatPr defaultRowHeight="14.5" x14ac:dyDescent="0.35"/>
  <cols>
    <col min="1" max="1" width="12.08984375" bestFit="1" customWidth="1"/>
    <col min="2" max="2" width="11.1796875" bestFit="1" customWidth="1"/>
    <col min="3" max="3" width="14.453125" bestFit="1" customWidth="1"/>
    <col min="4" max="4" width="12.90625" style="7" customWidth="1"/>
    <col min="5" max="5" width="9.90625" style="8" hidden="1" customWidth="1"/>
    <col min="6" max="6" width="10.08984375" bestFit="1" customWidth="1"/>
    <col min="7" max="7" width="17" style="4" bestFit="1" customWidth="1"/>
    <col min="8" max="8" width="9.81640625" bestFit="1" customWidth="1"/>
    <col min="9" max="9" width="12.7265625" style="3" bestFit="1" customWidth="1"/>
    <col min="10" max="10" width="9.36328125" bestFit="1" customWidth="1"/>
    <col min="11" max="11" width="13.81640625" bestFit="1" customWidth="1"/>
    <col min="12" max="12" width="29.1796875" customWidth="1"/>
    <col min="13" max="13" width="13.3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7" t="s">
        <v>783</v>
      </c>
      <c r="E1" s="8" t="s">
        <v>3</v>
      </c>
      <c r="F1" s="1" t="s">
        <v>4</v>
      </c>
      <c r="G1" s="4" t="s">
        <v>5</v>
      </c>
      <c r="H1" s="1" t="s">
        <v>6</v>
      </c>
      <c r="I1" s="2" t="s">
        <v>7</v>
      </c>
      <c r="J1" t="s">
        <v>8</v>
      </c>
      <c r="K1" t="s">
        <v>9</v>
      </c>
      <c r="L1" t="s">
        <v>785</v>
      </c>
      <c r="M1" t="s">
        <v>784</v>
      </c>
    </row>
    <row r="2" spans="1:13" x14ac:dyDescent="0.35">
      <c r="A2" s="1" t="s">
        <v>10</v>
      </c>
      <c r="B2" s="1" t="s">
        <v>11</v>
      </c>
      <c r="C2" s="1" t="s">
        <v>12</v>
      </c>
      <c r="D2" s="9" t="str">
        <f>VLOOKUP(E2,$L$2:$M$6,2,TRUE)</f>
        <v>25-34</v>
      </c>
      <c r="E2" s="8">
        <v>34</v>
      </c>
      <c r="F2" s="1" t="s">
        <v>14</v>
      </c>
      <c r="G2" s="4">
        <v>44566</v>
      </c>
      <c r="H2" s="1" t="s">
        <v>755</v>
      </c>
      <c r="I2" s="2">
        <v>1200</v>
      </c>
      <c r="J2" t="s">
        <v>15</v>
      </c>
      <c r="K2" t="s">
        <v>759</v>
      </c>
      <c r="L2" s="7">
        <v>0</v>
      </c>
      <c r="M2" t="s">
        <v>786</v>
      </c>
    </row>
    <row r="3" spans="1:13" x14ac:dyDescent="0.35">
      <c r="A3" s="1" t="s">
        <v>10</v>
      </c>
      <c r="B3" s="1" t="s">
        <v>11</v>
      </c>
      <c r="C3" s="1" t="s">
        <v>16</v>
      </c>
      <c r="D3" s="9" t="str">
        <f t="shared" ref="D3:D66" si="0">VLOOKUP(E3,$L$2:$M$6,2,TRUE)</f>
        <v>25-34</v>
      </c>
      <c r="E3" s="8">
        <v>34</v>
      </c>
      <c r="F3" s="1" t="s">
        <v>14</v>
      </c>
      <c r="G3" s="4">
        <v>44576</v>
      </c>
      <c r="H3" s="1" t="s">
        <v>755</v>
      </c>
      <c r="I3" s="2" t="s">
        <v>17</v>
      </c>
      <c r="J3" t="s">
        <v>15</v>
      </c>
      <c r="K3" t="s">
        <v>759</v>
      </c>
      <c r="L3">
        <v>25</v>
      </c>
      <c r="M3" t="s">
        <v>787</v>
      </c>
    </row>
    <row r="4" spans="1:13" x14ac:dyDescent="0.35">
      <c r="A4" s="1" t="s">
        <v>18</v>
      </c>
      <c r="B4" s="1" t="s">
        <v>19</v>
      </c>
      <c r="C4" s="1" t="s">
        <v>20</v>
      </c>
      <c r="D4" s="9" t="str">
        <f t="shared" si="0"/>
        <v>25-34</v>
      </c>
      <c r="E4" s="8">
        <v>29</v>
      </c>
      <c r="F4" s="1" t="s">
        <v>22</v>
      </c>
      <c r="G4" s="4">
        <v>44576</v>
      </c>
      <c r="H4" s="1" t="s">
        <v>758</v>
      </c>
      <c r="I4" s="2" t="s">
        <v>23</v>
      </c>
      <c r="J4" t="s">
        <v>24</v>
      </c>
      <c r="K4" t="s">
        <v>761</v>
      </c>
      <c r="L4">
        <v>35</v>
      </c>
      <c r="M4" t="s">
        <v>788</v>
      </c>
    </row>
    <row r="5" spans="1:13" x14ac:dyDescent="0.35">
      <c r="A5" s="1" t="s">
        <v>25</v>
      </c>
      <c r="B5" s="1" t="s">
        <v>26</v>
      </c>
      <c r="C5" s="1" t="s">
        <v>27</v>
      </c>
      <c r="D5" s="9" t="str">
        <f t="shared" si="0"/>
        <v>45-54</v>
      </c>
      <c r="E5" s="8">
        <v>45</v>
      </c>
      <c r="F5" s="1" t="s">
        <v>14</v>
      </c>
      <c r="G5" s="4">
        <v>44589</v>
      </c>
      <c r="H5" s="1" t="s">
        <v>758</v>
      </c>
      <c r="I5" s="2">
        <v>950</v>
      </c>
      <c r="J5" t="s">
        <v>24</v>
      </c>
      <c r="K5" t="s">
        <v>761</v>
      </c>
      <c r="L5">
        <v>45</v>
      </c>
      <c r="M5" t="s">
        <v>789</v>
      </c>
    </row>
    <row r="6" spans="1:13" x14ac:dyDescent="0.35">
      <c r="A6" s="1" t="s">
        <v>29</v>
      </c>
      <c r="B6" s="1" t="s">
        <v>30</v>
      </c>
      <c r="C6" s="1" t="s">
        <v>31</v>
      </c>
      <c r="D6" s="9" t="str">
        <f t="shared" si="0"/>
        <v>18-24</v>
      </c>
      <c r="E6" s="8">
        <v>22</v>
      </c>
      <c r="F6" s="1" t="s">
        <v>22</v>
      </c>
      <c r="G6" s="4">
        <v>44589</v>
      </c>
      <c r="H6" s="1" t="s">
        <v>32</v>
      </c>
      <c r="I6" s="2" t="s">
        <v>33</v>
      </c>
      <c r="J6" t="s">
        <v>34</v>
      </c>
      <c r="K6" t="s">
        <v>760</v>
      </c>
      <c r="L6">
        <v>55</v>
      </c>
      <c r="M6" t="s">
        <v>790</v>
      </c>
    </row>
    <row r="7" spans="1:13" x14ac:dyDescent="0.35">
      <c r="A7" s="1" t="s">
        <v>35</v>
      </c>
      <c r="B7" s="1" t="s">
        <v>36</v>
      </c>
      <c r="C7" s="1" t="s">
        <v>37</v>
      </c>
      <c r="D7" s="9" t="str">
        <f t="shared" si="0"/>
        <v>45-54</v>
      </c>
      <c r="E7" s="8">
        <v>52</v>
      </c>
      <c r="F7" s="1" t="s">
        <v>14</v>
      </c>
      <c r="G7" s="4">
        <v>44601</v>
      </c>
      <c r="H7" s="1" t="s">
        <v>32</v>
      </c>
      <c r="I7" s="2">
        <v>200</v>
      </c>
      <c r="J7" t="s">
        <v>34</v>
      </c>
      <c r="K7" t="s">
        <v>760</v>
      </c>
    </row>
    <row r="8" spans="1:13" x14ac:dyDescent="0.35">
      <c r="A8" s="1" t="s">
        <v>39</v>
      </c>
      <c r="B8" s="1" t="s">
        <v>40</v>
      </c>
      <c r="C8" s="1" t="s">
        <v>41</v>
      </c>
      <c r="D8" s="9" t="str">
        <f t="shared" si="0"/>
        <v>55+</v>
      </c>
      <c r="E8" s="8">
        <v>120</v>
      </c>
      <c r="F8" s="1" t="s">
        <v>22</v>
      </c>
      <c r="G8" s="4">
        <v>44601</v>
      </c>
      <c r="H8" s="1" t="s">
        <v>756</v>
      </c>
      <c r="I8" s="2">
        <v>2500</v>
      </c>
      <c r="J8" t="s">
        <v>43</v>
      </c>
      <c r="K8" t="s">
        <v>762</v>
      </c>
    </row>
    <row r="9" spans="1:13" x14ac:dyDescent="0.35">
      <c r="A9" s="1" t="s">
        <v>44</v>
      </c>
      <c r="B9" s="1" t="s">
        <v>45</v>
      </c>
      <c r="C9" s="1" t="s">
        <v>46</v>
      </c>
      <c r="D9" s="9" t="str">
        <f t="shared" si="0"/>
        <v>18-24</v>
      </c>
      <c r="E9" s="8">
        <v>5</v>
      </c>
      <c r="F9" s="1" t="s">
        <v>14</v>
      </c>
      <c r="G9" s="4">
        <v>44602</v>
      </c>
      <c r="H9" s="1" t="s">
        <v>756</v>
      </c>
      <c r="I9" s="2" t="s">
        <v>49</v>
      </c>
      <c r="J9" t="s">
        <v>43</v>
      </c>
      <c r="K9" t="s">
        <v>762</v>
      </c>
    </row>
    <row r="10" spans="1:13" x14ac:dyDescent="0.35">
      <c r="A10" s="1" t="s">
        <v>50</v>
      </c>
      <c r="B10" s="1" t="s">
        <v>51</v>
      </c>
      <c r="C10" s="1" t="s">
        <v>52</v>
      </c>
      <c r="D10" s="9" t="str">
        <f t="shared" si="0"/>
        <v>35-44</v>
      </c>
      <c r="E10" s="8">
        <v>38</v>
      </c>
      <c r="F10" s="1" t="s">
        <v>22</v>
      </c>
      <c r="G10" s="4">
        <v>44602</v>
      </c>
      <c r="H10" s="1" t="s">
        <v>757</v>
      </c>
      <c r="I10" s="2" t="s">
        <v>54</v>
      </c>
      <c r="J10" t="s">
        <v>55</v>
      </c>
      <c r="K10" t="s">
        <v>748</v>
      </c>
    </row>
    <row r="11" spans="1:13" x14ac:dyDescent="0.35">
      <c r="A11" s="1" t="s">
        <v>56</v>
      </c>
      <c r="B11" s="1" t="s">
        <v>57</v>
      </c>
      <c r="C11" s="1" t="s">
        <v>58</v>
      </c>
      <c r="D11" s="9" t="str">
        <f t="shared" si="0"/>
        <v>35-44</v>
      </c>
      <c r="E11" s="8">
        <v>41</v>
      </c>
      <c r="F11" s="1" t="s">
        <v>14</v>
      </c>
      <c r="G11" s="4">
        <v>44606</v>
      </c>
      <c r="H11" s="1" t="s">
        <v>757</v>
      </c>
      <c r="I11" s="2">
        <v>1</v>
      </c>
      <c r="J11" t="s">
        <v>55</v>
      </c>
      <c r="K11" t="s">
        <v>748</v>
      </c>
    </row>
    <row r="12" spans="1:13" x14ac:dyDescent="0.35">
      <c r="A12" s="1" t="s">
        <v>60</v>
      </c>
      <c r="B12" s="1" t="s">
        <v>61</v>
      </c>
      <c r="C12" s="1" t="s">
        <v>62</v>
      </c>
      <c r="D12" s="9" t="str">
        <f t="shared" si="0"/>
        <v>25-34</v>
      </c>
      <c r="E12" s="8">
        <v>33</v>
      </c>
      <c r="F12" s="1" t="s">
        <v>22</v>
      </c>
      <c r="G12" s="4">
        <v>44606</v>
      </c>
      <c r="H12" s="1" t="s">
        <v>755</v>
      </c>
      <c r="I12" s="2" t="s">
        <v>64</v>
      </c>
      <c r="J12" t="s">
        <v>15</v>
      </c>
      <c r="K12" t="s">
        <v>759</v>
      </c>
    </row>
    <row r="13" spans="1:13" x14ac:dyDescent="0.35">
      <c r="A13" s="1" t="s">
        <v>65</v>
      </c>
      <c r="B13" s="1" t="s">
        <v>66</v>
      </c>
      <c r="C13" s="1" t="s">
        <v>67</v>
      </c>
      <c r="D13" s="9" t="str">
        <f t="shared" si="0"/>
        <v>45-54</v>
      </c>
      <c r="E13" s="8">
        <v>47</v>
      </c>
      <c r="F13" s="1" t="s">
        <v>14</v>
      </c>
      <c r="G13" s="4">
        <v>44610</v>
      </c>
      <c r="H13" s="1" t="s">
        <v>755</v>
      </c>
      <c r="I13" s="2">
        <v>900</v>
      </c>
      <c r="J13" t="s">
        <v>15</v>
      </c>
      <c r="K13" t="s">
        <v>759</v>
      </c>
    </row>
    <row r="14" spans="1:13" x14ac:dyDescent="0.35">
      <c r="A14" s="1" t="s">
        <v>69</v>
      </c>
      <c r="B14" s="1" t="s">
        <v>70</v>
      </c>
      <c r="C14" s="1" t="s">
        <v>71</v>
      </c>
      <c r="D14" s="9" t="str">
        <f t="shared" si="0"/>
        <v>25-34</v>
      </c>
      <c r="E14" s="8">
        <v>28</v>
      </c>
      <c r="F14" s="1" t="s">
        <v>22</v>
      </c>
      <c r="G14" s="4">
        <v>44610</v>
      </c>
      <c r="H14" s="1" t="s">
        <v>758</v>
      </c>
      <c r="I14" s="2" t="s">
        <v>73</v>
      </c>
      <c r="J14" t="s">
        <v>24</v>
      </c>
      <c r="K14" t="s">
        <v>761</v>
      </c>
    </row>
    <row r="15" spans="1:13" x14ac:dyDescent="0.35">
      <c r="A15" s="1" t="s">
        <v>74</v>
      </c>
      <c r="B15" s="1" t="s">
        <v>75</v>
      </c>
      <c r="C15" s="1" t="s">
        <v>76</v>
      </c>
      <c r="D15" s="9" t="str">
        <f t="shared" si="0"/>
        <v>35-44</v>
      </c>
      <c r="E15" s="8">
        <v>36</v>
      </c>
      <c r="F15" s="1" t="s">
        <v>14</v>
      </c>
      <c r="G15" s="4">
        <v>44621</v>
      </c>
      <c r="H15" s="1" t="s">
        <v>758</v>
      </c>
      <c r="I15" s="2" t="s">
        <v>78</v>
      </c>
      <c r="J15" t="s">
        <v>24</v>
      </c>
      <c r="K15" t="s">
        <v>761</v>
      </c>
    </row>
    <row r="16" spans="1:13" x14ac:dyDescent="0.35">
      <c r="A16" s="1" t="s">
        <v>80</v>
      </c>
      <c r="B16" s="1" t="s">
        <v>81</v>
      </c>
      <c r="C16" s="1" t="s">
        <v>82</v>
      </c>
      <c r="D16" s="9" t="str">
        <f t="shared" si="0"/>
        <v>55+</v>
      </c>
      <c r="E16" s="8">
        <v>55</v>
      </c>
      <c r="F16" s="1" t="s">
        <v>14</v>
      </c>
      <c r="G16" s="4">
        <v>44621</v>
      </c>
      <c r="H16" s="1" t="s">
        <v>32</v>
      </c>
      <c r="I16" s="2" t="s">
        <v>84</v>
      </c>
      <c r="J16" t="s">
        <v>34</v>
      </c>
      <c r="K16" t="s">
        <v>760</v>
      </c>
    </row>
    <row r="17" spans="1:11" x14ac:dyDescent="0.35">
      <c r="A17" s="1" t="s">
        <v>85</v>
      </c>
      <c r="B17" s="1" t="s">
        <v>86</v>
      </c>
      <c r="C17" s="1" t="s">
        <v>87</v>
      </c>
      <c r="D17" s="9" t="str">
        <f t="shared" si="0"/>
        <v>25-34</v>
      </c>
      <c r="E17" s="8">
        <v>27</v>
      </c>
      <c r="F17" s="1" t="s">
        <v>22</v>
      </c>
      <c r="G17" s="4">
        <v>44621</v>
      </c>
      <c r="H17" s="1" t="s">
        <v>756</v>
      </c>
      <c r="I17" s="2" t="s">
        <v>89</v>
      </c>
      <c r="J17" t="s">
        <v>43</v>
      </c>
      <c r="K17" t="s">
        <v>762</v>
      </c>
    </row>
    <row r="18" spans="1:11" x14ac:dyDescent="0.35">
      <c r="A18" s="1" t="s">
        <v>90</v>
      </c>
      <c r="B18" s="1" t="s">
        <v>91</v>
      </c>
      <c r="C18" s="1" t="s">
        <v>92</v>
      </c>
      <c r="D18" s="9" t="str">
        <f t="shared" si="0"/>
        <v>35-44</v>
      </c>
      <c r="E18" s="8">
        <v>39</v>
      </c>
      <c r="F18" s="1" t="s">
        <v>14</v>
      </c>
      <c r="G18" s="4">
        <v>44621</v>
      </c>
      <c r="H18" s="1" t="s">
        <v>756</v>
      </c>
      <c r="I18" s="2">
        <v>2000</v>
      </c>
      <c r="J18" t="s">
        <v>43</v>
      </c>
      <c r="K18" t="s">
        <v>762</v>
      </c>
    </row>
    <row r="19" spans="1:11" x14ac:dyDescent="0.35">
      <c r="A19" s="1" t="s">
        <v>94</v>
      </c>
      <c r="B19" s="1" t="s">
        <v>95</v>
      </c>
      <c r="C19" s="1" t="s">
        <v>96</v>
      </c>
      <c r="D19" s="9" t="str">
        <f t="shared" si="0"/>
        <v>35-44</v>
      </c>
      <c r="E19" s="8">
        <v>44</v>
      </c>
      <c r="F19" s="1" t="s">
        <v>22</v>
      </c>
      <c r="G19" s="4">
        <v>44624</v>
      </c>
      <c r="H19" s="1" t="s">
        <v>757</v>
      </c>
      <c r="I19" s="2" t="s">
        <v>98</v>
      </c>
      <c r="J19" t="s">
        <v>55</v>
      </c>
      <c r="K19" t="s">
        <v>748</v>
      </c>
    </row>
    <row r="20" spans="1:11" x14ac:dyDescent="0.35">
      <c r="A20" s="1" t="s">
        <v>99</v>
      </c>
      <c r="B20" s="1" t="s">
        <v>100</v>
      </c>
      <c r="C20" s="1" t="s">
        <v>101</v>
      </c>
      <c r="D20" s="9" t="str">
        <f t="shared" si="0"/>
        <v>45-54</v>
      </c>
      <c r="E20" s="8">
        <v>48</v>
      </c>
      <c r="F20" s="1" t="s">
        <v>14</v>
      </c>
      <c r="G20" s="4">
        <v>44624</v>
      </c>
      <c r="H20" s="1" t="s">
        <v>757</v>
      </c>
      <c r="I20" s="2">
        <v>1500</v>
      </c>
      <c r="J20" t="s">
        <v>55</v>
      </c>
      <c r="K20" t="s">
        <v>748</v>
      </c>
    </row>
    <row r="21" spans="1:11" x14ac:dyDescent="0.35">
      <c r="A21" s="1" t="s">
        <v>103</v>
      </c>
      <c r="B21" s="1" t="s">
        <v>104</v>
      </c>
      <c r="C21" s="1" t="s">
        <v>105</v>
      </c>
      <c r="D21" s="9" t="str">
        <f t="shared" si="0"/>
        <v>25-34</v>
      </c>
      <c r="E21" s="8">
        <v>32</v>
      </c>
      <c r="F21" s="1" t="s">
        <v>22</v>
      </c>
      <c r="G21" s="4">
        <v>44629</v>
      </c>
      <c r="H21" s="1" t="s">
        <v>755</v>
      </c>
      <c r="I21" s="2" t="s">
        <v>54</v>
      </c>
      <c r="J21" t="s">
        <v>15</v>
      </c>
      <c r="K21" t="s">
        <v>759</v>
      </c>
    </row>
    <row r="22" spans="1:11" x14ac:dyDescent="0.35">
      <c r="A22" s="1" t="s">
        <v>107</v>
      </c>
      <c r="B22" s="1" t="s">
        <v>108</v>
      </c>
      <c r="C22" s="1" t="s">
        <v>109</v>
      </c>
      <c r="D22" s="9" t="str">
        <f t="shared" si="0"/>
        <v>35-44</v>
      </c>
      <c r="E22" s="8">
        <v>37</v>
      </c>
      <c r="F22" s="1" t="s">
        <v>14</v>
      </c>
      <c r="G22" s="4">
        <v>44629</v>
      </c>
      <c r="H22" s="1" t="s">
        <v>755</v>
      </c>
      <c r="I22" s="2">
        <v>1300</v>
      </c>
      <c r="J22" t="s">
        <v>15</v>
      </c>
      <c r="K22" t="s">
        <v>759</v>
      </c>
    </row>
    <row r="23" spans="1:11" x14ac:dyDescent="0.35">
      <c r="A23" s="1" t="s">
        <v>111</v>
      </c>
      <c r="B23" s="1" t="s">
        <v>112</v>
      </c>
      <c r="C23" s="1" t="s">
        <v>113</v>
      </c>
      <c r="D23" s="9" t="str">
        <f t="shared" si="0"/>
        <v>25-34</v>
      </c>
      <c r="E23" s="8">
        <v>26</v>
      </c>
      <c r="F23" s="1" t="s">
        <v>22</v>
      </c>
      <c r="G23" s="4">
        <v>44634</v>
      </c>
      <c r="H23" s="1" t="s">
        <v>755</v>
      </c>
      <c r="I23" s="2" t="s">
        <v>115</v>
      </c>
      <c r="J23" t="s">
        <v>15</v>
      </c>
      <c r="K23" t="s">
        <v>759</v>
      </c>
    </row>
    <row r="24" spans="1:11" x14ac:dyDescent="0.35">
      <c r="A24" s="1" t="s">
        <v>116</v>
      </c>
      <c r="B24" s="1" t="s">
        <v>117</v>
      </c>
      <c r="C24" s="1" t="s">
        <v>118</v>
      </c>
      <c r="D24" s="9" t="str">
        <f t="shared" si="0"/>
        <v>35-44</v>
      </c>
      <c r="E24" s="8">
        <v>42</v>
      </c>
      <c r="F24" s="1" t="s">
        <v>14</v>
      </c>
      <c r="G24" s="4">
        <v>44634</v>
      </c>
      <c r="H24" s="1" t="s">
        <v>758</v>
      </c>
      <c r="I24" s="2" t="s">
        <v>64</v>
      </c>
      <c r="J24" t="s">
        <v>24</v>
      </c>
      <c r="K24" t="s">
        <v>761</v>
      </c>
    </row>
    <row r="25" spans="1:11" x14ac:dyDescent="0.35">
      <c r="A25" s="1" t="s">
        <v>120</v>
      </c>
      <c r="B25" s="1" t="s">
        <v>121</v>
      </c>
      <c r="C25" s="1" t="s">
        <v>122</v>
      </c>
      <c r="D25" s="9" t="str">
        <f t="shared" si="0"/>
        <v>25-34</v>
      </c>
      <c r="E25" s="8">
        <v>31</v>
      </c>
      <c r="F25" s="1" t="s">
        <v>22</v>
      </c>
      <c r="G25" s="4">
        <v>44636</v>
      </c>
      <c r="H25" s="1" t="s">
        <v>758</v>
      </c>
      <c r="I25" s="2">
        <v>900</v>
      </c>
      <c r="J25" t="s">
        <v>24</v>
      </c>
      <c r="K25" t="s">
        <v>761</v>
      </c>
    </row>
    <row r="26" spans="1:11" x14ac:dyDescent="0.35">
      <c r="A26" s="1" t="s">
        <v>123</v>
      </c>
      <c r="B26" s="1" t="s">
        <v>124</v>
      </c>
      <c r="C26" s="1" t="s">
        <v>125</v>
      </c>
      <c r="D26" s="9" t="str">
        <f t="shared" si="0"/>
        <v>45-54</v>
      </c>
      <c r="E26" s="8">
        <v>50</v>
      </c>
      <c r="F26" s="1" t="s">
        <v>14</v>
      </c>
      <c r="G26" s="4">
        <v>44636</v>
      </c>
      <c r="H26" s="1" t="s">
        <v>32</v>
      </c>
      <c r="I26" s="2" t="s">
        <v>127</v>
      </c>
      <c r="J26" t="s">
        <v>34</v>
      </c>
      <c r="K26" t="s">
        <v>760</v>
      </c>
    </row>
    <row r="27" spans="1:11" x14ac:dyDescent="0.35">
      <c r="A27" s="1" t="s">
        <v>128</v>
      </c>
      <c r="B27" s="1" t="s">
        <v>129</v>
      </c>
      <c r="C27" s="1" t="s">
        <v>130</v>
      </c>
      <c r="D27" s="9" t="str">
        <f t="shared" si="0"/>
        <v>45-54</v>
      </c>
      <c r="E27" s="8">
        <v>47</v>
      </c>
      <c r="F27" s="1" t="s">
        <v>22</v>
      </c>
      <c r="G27" s="4">
        <v>44638</v>
      </c>
      <c r="H27" s="1" t="s">
        <v>32</v>
      </c>
      <c r="I27" s="2">
        <v>250</v>
      </c>
      <c r="J27" t="s">
        <v>34</v>
      </c>
      <c r="K27" t="s">
        <v>760</v>
      </c>
    </row>
    <row r="28" spans="1:11" x14ac:dyDescent="0.35">
      <c r="A28" s="1" t="s">
        <v>131</v>
      </c>
      <c r="B28" s="1" t="s">
        <v>132</v>
      </c>
      <c r="C28" s="1" t="s">
        <v>133</v>
      </c>
      <c r="D28" s="9" t="str">
        <f t="shared" si="0"/>
        <v>35-44</v>
      </c>
      <c r="E28" s="8">
        <v>39</v>
      </c>
      <c r="F28" s="1" t="s">
        <v>14</v>
      </c>
      <c r="G28" s="4">
        <v>44638</v>
      </c>
      <c r="H28" s="1" t="s">
        <v>756</v>
      </c>
      <c r="I28" s="2" t="s">
        <v>134</v>
      </c>
      <c r="J28" t="s">
        <v>43</v>
      </c>
      <c r="K28" t="s">
        <v>762</v>
      </c>
    </row>
    <row r="29" spans="1:11" x14ac:dyDescent="0.35">
      <c r="A29" s="1" t="s">
        <v>135</v>
      </c>
      <c r="B29" s="1" t="s">
        <v>136</v>
      </c>
      <c r="C29" s="1" t="s">
        <v>137</v>
      </c>
      <c r="D29" s="9" t="str">
        <f t="shared" si="0"/>
        <v>25-34</v>
      </c>
      <c r="E29" s="8">
        <v>33</v>
      </c>
      <c r="F29" s="1" t="s">
        <v>22</v>
      </c>
      <c r="G29" s="4">
        <v>44642</v>
      </c>
      <c r="H29" s="1" t="s">
        <v>756</v>
      </c>
      <c r="I29" s="2" t="s">
        <v>744</v>
      </c>
      <c r="J29" t="s">
        <v>43</v>
      </c>
      <c r="K29" t="s">
        <v>762</v>
      </c>
    </row>
    <row r="30" spans="1:11" x14ac:dyDescent="0.35">
      <c r="A30" s="1" t="s">
        <v>138</v>
      </c>
      <c r="B30" s="1" t="s">
        <v>139</v>
      </c>
      <c r="C30" s="1" t="s">
        <v>140</v>
      </c>
      <c r="D30" s="9" t="str">
        <f t="shared" si="0"/>
        <v>45-54</v>
      </c>
      <c r="E30" s="8">
        <v>45</v>
      </c>
      <c r="F30" s="1" t="s">
        <v>14</v>
      </c>
      <c r="G30" s="4">
        <v>44642</v>
      </c>
      <c r="H30" s="1" t="s">
        <v>757</v>
      </c>
      <c r="I30" s="2" t="s">
        <v>141</v>
      </c>
      <c r="J30" t="s">
        <v>55</v>
      </c>
      <c r="K30" t="s">
        <v>748</v>
      </c>
    </row>
    <row r="31" spans="1:11" x14ac:dyDescent="0.35">
      <c r="A31" s="1" t="s">
        <v>142</v>
      </c>
      <c r="B31" s="1" t="s">
        <v>143</v>
      </c>
      <c r="C31" s="1" t="s">
        <v>144</v>
      </c>
      <c r="D31" s="9" t="str">
        <f t="shared" si="0"/>
        <v>35-44</v>
      </c>
      <c r="E31" s="8">
        <v>41</v>
      </c>
      <c r="F31" s="1" t="s">
        <v>22</v>
      </c>
      <c r="G31" s="4">
        <v>44642</v>
      </c>
      <c r="H31" s="1" t="s">
        <v>757</v>
      </c>
      <c r="I31" s="2">
        <v>1600</v>
      </c>
      <c r="J31" t="s">
        <v>55</v>
      </c>
      <c r="K31" t="s">
        <v>748</v>
      </c>
    </row>
    <row r="32" spans="1:11" x14ac:dyDescent="0.35">
      <c r="A32" s="1" t="s">
        <v>145</v>
      </c>
      <c r="B32" s="1" t="s">
        <v>146</v>
      </c>
      <c r="C32" s="1" t="s">
        <v>147</v>
      </c>
      <c r="D32" s="9" t="str">
        <f t="shared" si="0"/>
        <v>35-44</v>
      </c>
      <c r="E32" s="8">
        <v>36</v>
      </c>
      <c r="F32" s="1" t="s">
        <v>14</v>
      </c>
      <c r="G32" s="4">
        <v>44642</v>
      </c>
      <c r="H32" s="1" t="s">
        <v>755</v>
      </c>
      <c r="I32" s="2" t="s">
        <v>148</v>
      </c>
      <c r="J32" t="s">
        <v>15</v>
      </c>
      <c r="K32" t="s">
        <v>759</v>
      </c>
    </row>
    <row r="33" spans="1:11" x14ac:dyDescent="0.35">
      <c r="A33" s="1" t="s">
        <v>149</v>
      </c>
      <c r="B33" s="1" t="s">
        <v>150</v>
      </c>
      <c r="C33" s="1" t="s">
        <v>151</v>
      </c>
      <c r="D33" s="9" t="str">
        <f t="shared" si="0"/>
        <v>25-34</v>
      </c>
      <c r="E33" s="8">
        <v>29</v>
      </c>
      <c r="F33" s="1" t="s">
        <v>22</v>
      </c>
      <c r="G33" s="4">
        <v>44645</v>
      </c>
      <c r="H33" s="1" t="s">
        <v>755</v>
      </c>
      <c r="I33" s="2">
        <v>850</v>
      </c>
      <c r="J33" t="s">
        <v>15</v>
      </c>
      <c r="K33" t="s">
        <v>759</v>
      </c>
    </row>
    <row r="34" spans="1:11" x14ac:dyDescent="0.35">
      <c r="A34" s="1" t="s">
        <v>152</v>
      </c>
      <c r="B34" s="1" t="s">
        <v>153</v>
      </c>
      <c r="C34" s="1" t="s">
        <v>154</v>
      </c>
      <c r="D34" s="9" t="str">
        <f t="shared" si="0"/>
        <v>45-54</v>
      </c>
      <c r="E34" s="8">
        <v>52</v>
      </c>
      <c r="F34" s="1" t="s">
        <v>14</v>
      </c>
      <c r="G34" s="4">
        <v>44645</v>
      </c>
      <c r="H34" s="1" t="s">
        <v>758</v>
      </c>
      <c r="I34" s="2" t="s">
        <v>155</v>
      </c>
      <c r="J34" t="s">
        <v>24</v>
      </c>
      <c r="K34" t="s">
        <v>761</v>
      </c>
    </row>
    <row r="35" spans="1:11" x14ac:dyDescent="0.35">
      <c r="A35" s="1" t="s">
        <v>156</v>
      </c>
      <c r="B35" s="1" t="s">
        <v>157</v>
      </c>
      <c r="C35" s="1" t="s">
        <v>158</v>
      </c>
      <c r="D35" s="9" t="str">
        <f t="shared" si="0"/>
        <v>45-54</v>
      </c>
      <c r="E35" s="8">
        <v>48</v>
      </c>
      <c r="F35" s="1" t="s">
        <v>22</v>
      </c>
      <c r="G35" s="4">
        <v>44648</v>
      </c>
      <c r="H35" s="1" t="s">
        <v>758</v>
      </c>
      <c r="I35" s="2" t="s">
        <v>159</v>
      </c>
      <c r="J35" t="s">
        <v>24</v>
      </c>
      <c r="K35" t="s">
        <v>761</v>
      </c>
    </row>
    <row r="36" spans="1:11" x14ac:dyDescent="0.35">
      <c r="A36" s="1" t="s">
        <v>160</v>
      </c>
      <c r="B36" s="1" t="s">
        <v>161</v>
      </c>
      <c r="C36" s="1" t="s">
        <v>162</v>
      </c>
      <c r="D36" s="9" t="str">
        <f t="shared" si="0"/>
        <v>25-34</v>
      </c>
      <c r="E36" s="8">
        <v>34</v>
      </c>
      <c r="F36" s="1" t="s">
        <v>14</v>
      </c>
      <c r="G36" s="4">
        <v>44648</v>
      </c>
      <c r="H36" s="1" t="s">
        <v>32</v>
      </c>
      <c r="I36" s="2" t="s">
        <v>163</v>
      </c>
      <c r="J36" t="s">
        <v>34</v>
      </c>
      <c r="K36" t="s">
        <v>760</v>
      </c>
    </row>
    <row r="37" spans="1:11" x14ac:dyDescent="0.35">
      <c r="A37" s="1" t="s">
        <v>164</v>
      </c>
      <c r="B37" s="1" t="s">
        <v>165</v>
      </c>
      <c r="C37" s="1" t="s">
        <v>166</v>
      </c>
      <c r="D37" s="9" t="str">
        <f t="shared" si="0"/>
        <v>25-34</v>
      </c>
      <c r="E37" s="8">
        <v>32</v>
      </c>
      <c r="F37" s="1" t="s">
        <v>22</v>
      </c>
      <c r="G37" s="4">
        <v>44655</v>
      </c>
      <c r="H37" s="1" t="s">
        <v>32</v>
      </c>
      <c r="I37" s="2">
        <v>500</v>
      </c>
      <c r="J37" t="s">
        <v>34</v>
      </c>
      <c r="K37" t="s">
        <v>760</v>
      </c>
    </row>
    <row r="38" spans="1:11" x14ac:dyDescent="0.35">
      <c r="A38" s="1" t="s">
        <v>167</v>
      </c>
      <c r="B38" s="1" t="s">
        <v>168</v>
      </c>
      <c r="C38" s="1" t="s">
        <v>169</v>
      </c>
      <c r="D38" s="9" t="str">
        <f t="shared" si="0"/>
        <v>25-34</v>
      </c>
      <c r="E38" s="8">
        <v>28</v>
      </c>
      <c r="F38" s="1" t="s">
        <v>14</v>
      </c>
      <c r="G38" s="4">
        <v>44655</v>
      </c>
      <c r="H38" s="1" t="s">
        <v>756</v>
      </c>
      <c r="I38" s="2" t="s">
        <v>170</v>
      </c>
      <c r="J38" t="s">
        <v>43</v>
      </c>
      <c r="K38" t="s">
        <v>762</v>
      </c>
    </row>
    <row r="39" spans="1:11" x14ac:dyDescent="0.35">
      <c r="A39" s="1" t="s">
        <v>171</v>
      </c>
      <c r="B39" s="1" t="s">
        <v>172</v>
      </c>
      <c r="C39" s="1" t="s">
        <v>173</v>
      </c>
      <c r="D39" s="9" t="str">
        <f t="shared" si="0"/>
        <v>25-34</v>
      </c>
      <c r="E39" s="8">
        <v>27</v>
      </c>
      <c r="F39" s="1" t="s">
        <v>22</v>
      </c>
      <c r="G39" s="4">
        <v>44657</v>
      </c>
      <c r="H39" s="1" t="s">
        <v>756</v>
      </c>
      <c r="I39" s="2">
        <v>2100</v>
      </c>
      <c r="J39" t="s">
        <v>43</v>
      </c>
      <c r="K39" t="s">
        <v>762</v>
      </c>
    </row>
    <row r="40" spans="1:11" x14ac:dyDescent="0.35">
      <c r="A40" s="1" t="s">
        <v>174</v>
      </c>
      <c r="B40" s="1" t="s">
        <v>175</v>
      </c>
      <c r="C40" s="1" t="s">
        <v>176</v>
      </c>
      <c r="D40" s="9" t="str">
        <f t="shared" si="0"/>
        <v>45-54</v>
      </c>
      <c r="E40" s="8">
        <v>49</v>
      </c>
      <c r="F40" s="1" t="s">
        <v>14</v>
      </c>
      <c r="G40" s="4">
        <v>44657</v>
      </c>
      <c r="H40" s="1" t="s">
        <v>757</v>
      </c>
      <c r="I40" s="2" t="s">
        <v>178</v>
      </c>
      <c r="J40" t="s">
        <v>55</v>
      </c>
      <c r="K40" t="s">
        <v>748</v>
      </c>
    </row>
    <row r="41" spans="1:11" x14ac:dyDescent="0.35">
      <c r="A41" s="1" t="s">
        <v>179</v>
      </c>
      <c r="B41" s="1" t="s">
        <v>180</v>
      </c>
      <c r="C41" s="1" t="s">
        <v>181</v>
      </c>
      <c r="D41" s="9" t="str">
        <f t="shared" si="0"/>
        <v>45-54</v>
      </c>
      <c r="E41" s="8">
        <v>46</v>
      </c>
      <c r="F41" s="1" t="s">
        <v>22</v>
      </c>
      <c r="G41" s="4">
        <v>44660</v>
      </c>
      <c r="H41" s="1" t="s">
        <v>757</v>
      </c>
      <c r="I41" s="2" t="s">
        <v>745</v>
      </c>
      <c r="J41" t="s">
        <v>55</v>
      </c>
      <c r="K41" t="s">
        <v>748</v>
      </c>
    </row>
    <row r="42" spans="1:11" x14ac:dyDescent="0.35">
      <c r="A42" s="1" t="s">
        <v>183</v>
      </c>
      <c r="B42" s="1" t="s">
        <v>184</v>
      </c>
      <c r="C42" s="1" t="s">
        <v>185</v>
      </c>
      <c r="D42" s="9" t="str">
        <f t="shared" si="0"/>
        <v>35-44</v>
      </c>
      <c r="E42" s="8">
        <v>38</v>
      </c>
      <c r="F42" s="1" t="s">
        <v>14</v>
      </c>
      <c r="G42" s="4">
        <v>44661</v>
      </c>
      <c r="H42" s="1" t="s">
        <v>755</v>
      </c>
      <c r="I42" s="2">
        <v>1250</v>
      </c>
      <c r="J42" t="s">
        <v>15</v>
      </c>
      <c r="K42" t="s">
        <v>759</v>
      </c>
    </row>
    <row r="43" spans="1:11" x14ac:dyDescent="0.35">
      <c r="A43" s="1" t="s">
        <v>186</v>
      </c>
      <c r="B43" s="1" t="s">
        <v>187</v>
      </c>
      <c r="C43" s="1" t="s">
        <v>188</v>
      </c>
      <c r="D43" s="9" t="str">
        <f t="shared" si="0"/>
        <v>35-44</v>
      </c>
      <c r="E43" s="8">
        <v>35</v>
      </c>
      <c r="F43" s="1" t="s">
        <v>22</v>
      </c>
      <c r="G43" s="4">
        <v>44661</v>
      </c>
      <c r="H43" s="1" t="s">
        <v>755</v>
      </c>
      <c r="I43" s="2" t="s">
        <v>190</v>
      </c>
      <c r="J43" t="s">
        <v>15</v>
      </c>
      <c r="K43" t="s">
        <v>759</v>
      </c>
    </row>
    <row r="44" spans="1:11" x14ac:dyDescent="0.35">
      <c r="A44" s="1" t="s">
        <v>191</v>
      </c>
      <c r="B44" s="1" t="s">
        <v>192</v>
      </c>
      <c r="C44" s="1" t="s">
        <v>193</v>
      </c>
      <c r="D44" s="9" t="str">
        <f t="shared" si="0"/>
        <v>35-44</v>
      </c>
      <c r="E44" s="8">
        <v>44</v>
      </c>
      <c r="F44" s="1" t="s">
        <v>14</v>
      </c>
      <c r="G44" s="4">
        <v>44663</v>
      </c>
      <c r="H44" s="1" t="s">
        <v>758</v>
      </c>
      <c r="I44" s="2" t="s">
        <v>194</v>
      </c>
      <c r="J44" t="s">
        <v>24</v>
      </c>
      <c r="K44" t="s">
        <v>761</v>
      </c>
    </row>
    <row r="45" spans="1:11" x14ac:dyDescent="0.35">
      <c r="A45" s="1" t="s">
        <v>195</v>
      </c>
      <c r="B45" s="1" t="s">
        <v>196</v>
      </c>
      <c r="C45" s="1" t="s">
        <v>197</v>
      </c>
      <c r="D45" s="9" t="str">
        <f t="shared" si="0"/>
        <v>25-34</v>
      </c>
      <c r="E45" s="8">
        <v>33</v>
      </c>
      <c r="F45" s="1" t="s">
        <v>22</v>
      </c>
      <c r="G45" s="4">
        <v>44663</v>
      </c>
      <c r="H45" s="1" t="s">
        <v>758</v>
      </c>
      <c r="I45" s="2">
        <v>880</v>
      </c>
      <c r="J45" t="s">
        <v>24</v>
      </c>
      <c r="K45" t="s">
        <v>761</v>
      </c>
    </row>
    <row r="46" spans="1:11" x14ac:dyDescent="0.35">
      <c r="A46" s="1" t="s">
        <v>198</v>
      </c>
      <c r="B46" s="1" t="s">
        <v>199</v>
      </c>
      <c r="C46" s="1" t="s">
        <v>200</v>
      </c>
      <c r="D46" s="9" t="str">
        <f t="shared" si="0"/>
        <v>45-54</v>
      </c>
      <c r="E46" s="8">
        <v>51</v>
      </c>
      <c r="F46" s="1" t="s">
        <v>14</v>
      </c>
      <c r="G46" s="4">
        <v>44666</v>
      </c>
      <c r="H46" s="1" t="s">
        <v>32</v>
      </c>
      <c r="I46" s="2" t="s">
        <v>202</v>
      </c>
      <c r="J46" t="s">
        <v>34</v>
      </c>
      <c r="K46" t="s">
        <v>760</v>
      </c>
    </row>
    <row r="47" spans="1:11" x14ac:dyDescent="0.35">
      <c r="A47" s="1" t="s">
        <v>203</v>
      </c>
      <c r="B47" s="1" t="s">
        <v>204</v>
      </c>
      <c r="C47" s="1" t="s">
        <v>205</v>
      </c>
      <c r="D47" s="9" t="str">
        <f t="shared" si="0"/>
        <v>45-54</v>
      </c>
      <c r="E47" s="8">
        <v>49</v>
      </c>
      <c r="F47" s="1" t="s">
        <v>22</v>
      </c>
      <c r="G47" s="4">
        <v>44666</v>
      </c>
      <c r="H47" s="1" t="s">
        <v>32</v>
      </c>
      <c r="I47" s="2">
        <v>275</v>
      </c>
      <c r="J47" t="s">
        <v>34</v>
      </c>
      <c r="K47" t="s">
        <v>760</v>
      </c>
    </row>
    <row r="48" spans="1:11" x14ac:dyDescent="0.35">
      <c r="A48" s="1" t="s">
        <v>206</v>
      </c>
      <c r="B48" s="1" t="s">
        <v>207</v>
      </c>
      <c r="C48" s="1" t="s">
        <v>208</v>
      </c>
      <c r="D48" s="9" t="str">
        <f t="shared" si="0"/>
        <v>25-34</v>
      </c>
      <c r="E48" s="8">
        <v>29</v>
      </c>
      <c r="F48" s="1" t="s">
        <v>14</v>
      </c>
      <c r="G48" s="4">
        <v>44668</v>
      </c>
      <c r="H48" s="1" t="s">
        <v>756</v>
      </c>
      <c r="I48" s="2" t="s">
        <v>209</v>
      </c>
      <c r="J48" t="s">
        <v>43</v>
      </c>
      <c r="K48" t="s">
        <v>762</v>
      </c>
    </row>
    <row r="49" spans="1:11" x14ac:dyDescent="0.35">
      <c r="A49" s="1" t="s">
        <v>210</v>
      </c>
      <c r="B49" s="1" t="s">
        <v>211</v>
      </c>
      <c r="C49" s="1" t="s">
        <v>212</v>
      </c>
      <c r="D49" s="9" t="str">
        <f t="shared" si="0"/>
        <v>25-34</v>
      </c>
      <c r="E49" s="8">
        <v>28</v>
      </c>
      <c r="F49" s="1" t="s">
        <v>22</v>
      </c>
      <c r="G49" s="4">
        <v>44668</v>
      </c>
      <c r="H49" s="1" t="s">
        <v>756</v>
      </c>
      <c r="I49" s="2">
        <v>1950</v>
      </c>
      <c r="J49" t="s">
        <v>43</v>
      </c>
      <c r="K49" t="s">
        <v>762</v>
      </c>
    </row>
    <row r="50" spans="1:11" x14ac:dyDescent="0.35">
      <c r="A50" s="1" t="s">
        <v>213</v>
      </c>
      <c r="B50" s="1" t="s">
        <v>214</v>
      </c>
      <c r="C50" s="1" t="s">
        <v>215</v>
      </c>
      <c r="D50" s="9" t="str">
        <f t="shared" si="0"/>
        <v>45-54</v>
      </c>
      <c r="E50" s="8">
        <v>46</v>
      </c>
      <c r="F50" s="1" t="s">
        <v>14</v>
      </c>
      <c r="G50" s="4">
        <v>44669</v>
      </c>
      <c r="H50" s="1" t="s">
        <v>757</v>
      </c>
      <c r="I50" s="2" t="s">
        <v>216</v>
      </c>
      <c r="J50" t="s">
        <v>55</v>
      </c>
      <c r="K50" t="s">
        <v>748</v>
      </c>
    </row>
    <row r="51" spans="1:11" x14ac:dyDescent="0.35">
      <c r="A51" s="1" t="s">
        <v>217</v>
      </c>
      <c r="B51" s="1" t="s">
        <v>218</v>
      </c>
      <c r="C51" s="1" t="s">
        <v>219</v>
      </c>
      <c r="D51" s="9" t="str">
        <f t="shared" si="0"/>
        <v>35-44</v>
      </c>
      <c r="E51" s="8">
        <v>43</v>
      </c>
      <c r="F51" s="1" t="s">
        <v>22</v>
      </c>
      <c r="G51" s="4">
        <v>44669</v>
      </c>
      <c r="H51" s="1" t="s">
        <v>757</v>
      </c>
      <c r="I51" s="2">
        <v>1700</v>
      </c>
      <c r="J51" s="1" t="s">
        <v>55</v>
      </c>
      <c r="K51" s="1" t="s">
        <v>748</v>
      </c>
    </row>
    <row r="52" spans="1:11" x14ac:dyDescent="0.35">
      <c r="A52" s="1" t="s">
        <v>221</v>
      </c>
      <c r="B52" s="1" t="s">
        <v>222</v>
      </c>
      <c r="C52" s="1" t="s">
        <v>223</v>
      </c>
      <c r="D52" s="9" t="str">
        <f t="shared" si="0"/>
        <v>35-44</v>
      </c>
      <c r="E52" s="8">
        <v>37</v>
      </c>
      <c r="F52" s="1" t="s">
        <v>14</v>
      </c>
      <c r="G52" s="4">
        <v>44673</v>
      </c>
      <c r="H52" s="1" t="s">
        <v>755</v>
      </c>
      <c r="I52" s="2" t="s">
        <v>224</v>
      </c>
      <c r="J52" t="s">
        <v>15</v>
      </c>
      <c r="K52" t="s">
        <v>759</v>
      </c>
    </row>
    <row r="53" spans="1:11" x14ac:dyDescent="0.35">
      <c r="A53" s="1" t="s">
        <v>225</v>
      </c>
      <c r="B53" s="1" t="s">
        <v>226</v>
      </c>
      <c r="C53" s="1" t="s">
        <v>227</v>
      </c>
      <c r="D53" s="9" t="str">
        <f t="shared" si="0"/>
        <v>25-34</v>
      </c>
      <c r="E53" s="8">
        <v>31</v>
      </c>
      <c r="F53" s="1" t="s">
        <v>22</v>
      </c>
      <c r="G53" s="4">
        <v>44673</v>
      </c>
      <c r="H53" s="1" t="s">
        <v>755</v>
      </c>
      <c r="I53" s="2">
        <v>820</v>
      </c>
      <c r="J53" t="s">
        <v>15</v>
      </c>
      <c r="K53" t="s">
        <v>759</v>
      </c>
    </row>
    <row r="54" spans="1:11" x14ac:dyDescent="0.35">
      <c r="A54" s="1" t="s">
        <v>228</v>
      </c>
      <c r="B54" s="1" t="s">
        <v>229</v>
      </c>
      <c r="C54" s="1" t="s">
        <v>230</v>
      </c>
      <c r="D54" s="9" t="str">
        <f t="shared" si="0"/>
        <v>45-54</v>
      </c>
      <c r="E54" s="8">
        <v>53</v>
      </c>
      <c r="F54" s="1" t="s">
        <v>14</v>
      </c>
      <c r="G54" s="4">
        <v>44677</v>
      </c>
      <c r="H54" s="1" t="s">
        <v>758</v>
      </c>
      <c r="I54" s="2" t="s">
        <v>232</v>
      </c>
      <c r="J54" t="s">
        <v>24</v>
      </c>
      <c r="K54" t="s">
        <v>761</v>
      </c>
    </row>
    <row r="55" spans="1:11" x14ac:dyDescent="0.35">
      <c r="A55" s="1" t="s">
        <v>233</v>
      </c>
      <c r="B55" s="1" t="s">
        <v>234</v>
      </c>
      <c r="C55" s="1" t="s">
        <v>235</v>
      </c>
      <c r="D55" s="9" t="str">
        <f t="shared" si="0"/>
        <v>45-54</v>
      </c>
      <c r="E55" s="8">
        <v>47</v>
      </c>
      <c r="F55" s="1" t="s">
        <v>22</v>
      </c>
      <c r="G55" s="4">
        <v>44677</v>
      </c>
      <c r="H55" s="1" t="s">
        <v>758</v>
      </c>
      <c r="I55" s="2" t="s">
        <v>236</v>
      </c>
      <c r="J55" t="s">
        <v>24</v>
      </c>
      <c r="K55" t="s">
        <v>761</v>
      </c>
    </row>
    <row r="56" spans="1:11" x14ac:dyDescent="0.35">
      <c r="A56" s="1" t="s">
        <v>237</v>
      </c>
      <c r="B56" s="1" t="s">
        <v>238</v>
      </c>
      <c r="C56" s="1" t="s">
        <v>239</v>
      </c>
      <c r="D56" s="9" t="str">
        <f t="shared" si="0"/>
        <v>25-34</v>
      </c>
      <c r="E56" s="8">
        <v>33</v>
      </c>
      <c r="F56" s="1" t="s">
        <v>14</v>
      </c>
      <c r="G56" s="4">
        <v>44683</v>
      </c>
      <c r="H56" s="1" t="s">
        <v>32</v>
      </c>
      <c r="I56" s="2" t="s">
        <v>240</v>
      </c>
      <c r="J56" t="s">
        <v>34</v>
      </c>
      <c r="K56" t="s">
        <v>760</v>
      </c>
    </row>
    <row r="57" spans="1:11" x14ac:dyDescent="0.35">
      <c r="A57" s="1" t="s">
        <v>241</v>
      </c>
      <c r="B57" s="1" t="s">
        <v>242</v>
      </c>
      <c r="C57" s="1" t="s">
        <v>243</v>
      </c>
      <c r="D57" s="9" t="str">
        <f t="shared" si="0"/>
        <v>25-34</v>
      </c>
      <c r="E57" s="8">
        <v>30</v>
      </c>
      <c r="F57" s="1" t="s">
        <v>22</v>
      </c>
      <c r="G57" s="4">
        <v>44683</v>
      </c>
      <c r="H57" s="1" t="s">
        <v>32</v>
      </c>
      <c r="I57" s="2">
        <v>480</v>
      </c>
      <c r="J57" t="s">
        <v>34</v>
      </c>
      <c r="K57" t="s">
        <v>760</v>
      </c>
    </row>
    <row r="58" spans="1:11" x14ac:dyDescent="0.35">
      <c r="A58" s="1" t="s">
        <v>245</v>
      </c>
      <c r="B58" s="1" t="s">
        <v>246</v>
      </c>
      <c r="C58" s="1" t="s">
        <v>247</v>
      </c>
      <c r="D58" s="9" t="str">
        <f t="shared" si="0"/>
        <v>25-34</v>
      </c>
      <c r="E58" s="8">
        <v>26</v>
      </c>
      <c r="F58" s="1" t="s">
        <v>14</v>
      </c>
      <c r="G58" s="4">
        <v>44684</v>
      </c>
      <c r="H58" s="1" t="s">
        <v>756</v>
      </c>
      <c r="I58" s="2" t="s">
        <v>248</v>
      </c>
      <c r="J58" t="s">
        <v>43</v>
      </c>
      <c r="K58" t="s">
        <v>762</v>
      </c>
    </row>
    <row r="59" spans="1:11" x14ac:dyDescent="0.35">
      <c r="A59" s="1" t="s">
        <v>249</v>
      </c>
      <c r="B59" s="1" t="s">
        <v>250</v>
      </c>
      <c r="C59" s="1" t="s">
        <v>251</v>
      </c>
      <c r="D59" s="9" t="str">
        <f t="shared" si="0"/>
        <v>25-34</v>
      </c>
      <c r="E59" s="8">
        <v>25</v>
      </c>
      <c r="F59" s="1" t="s">
        <v>22</v>
      </c>
      <c r="G59" s="4">
        <v>44684</v>
      </c>
      <c r="H59" s="1" t="s">
        <v>756</v>
      </c>
      <c r="I59" s="2">
        <v>2200</v>
      </c>
      <c r="J59" t="s">
        <v>43</v>
      </c>
      <c r="K59" t="s">
        <v>762</v>
      </c>
    </row>
    <row r="60" spans="1:11" x14ac:dyDescent="0.35">
      <c r="A60" s="1" t="s">
        <v>253</v>
      </c>
      <c r="B60" s="1" t="s">
        <v>254</v>
      </c>
      <c r="C60" s="1" t="s">
        <v>255</v>
      </c>
      <c r="D60" s="9" t="str">
        <f t="shared" si="0"/>
        <v>45-54</v>
      </c>
      <c r="E60" s="8">
        <v>50</v>
      </c>
      <c r="F60" s="1" t="s">
        <v>14</v>
      </c>
      <c r="G60" s="4">
        <v>44686</v>
      </c>
      <c r="H60" s="1" t="s">
        <v>757</v>
      </c>
      <c r="I60" s="2" t="s">
        <v>256</v>
      </c>
      <c r="J60" t="s">
        <v>55</v>
      </c>
      <c r="K60" t="s">
        <v>748</v>
      </c>
    </row>
    <row r="61" spans="1:11" x14ac:dyDescent="0.35">
      <c r="A61" s="1" t="s">
        <v>257</v>
      </c>
      <c r="B61" s="1" t="s">
        <v>258</v>
      </c>
      <c r="C61" s="1" t="s">
        <v>259</v>
      </c>
      <c r="D61" s="9" t="str">
        <f t="shared" si="0"/>
        <v>45-54</v>
      </c>
      <c r="E61" s="8">
        <v>48</v>
      </c>
      <c r="F61" s="1" t="s">
        <v>22</v>
      </c>
      <c r="G61" s="4">
        <v>44686</v>
      </c>
      <c r="H61" s="1" t="s">
        <v>757</v>
      </c>
      <c r="I61" s="2">
        <v>1550</v>
      </c>
      <c r="J61" t="s">
        <v>55</v>
      </c>
      <c r="K61" t="s">
        <v>748</v>
      </c>
    </row>
    <row r="62" spans="1:11" x14ac:dyDescent="0.35">
      <c r="A62" s="1" t="s">
        <v>260</v>
      </c>
      <c r="B62" s="1" t="s">
        <v>261</v>
      </c>
      <c r="C62" s="1" t="s">
        <v>262</v>
      </c>
      <c r="D62" s="9" t="str">
        <f t="shared" si="0"/>
        <v>35-44</v>
      </c>
      <c r="E62" s="8">
        <v>40</v>
      </c>
      <c r="F62" s="1" t="s">
        <v>14</v>
      </c>
      <c r="G62" s="4">
        <v>44688</v>
      </c>
      <c r="H62" s="1" t="s">
        <v>755</v>
      </c>
      <c r="I62" s="2">
        <v>1280</v>
      </c>
      <c r="J62" t="s">
        <v>15</v>
      </c>
      <c r="K62" t="s">
        <v>759</v>
      </c>
    </row>
    <row r="63" spans="1:11" x14ac:dyDescent="0.35">
      <c r="A63" s="1" t="s">
        <v>264</v>
      </c>
      <c r="B63" s="1" t="s">
        <v>265</v>
      </c>
      <c r="C63" s="1" t="s">
        <v>266</v>
      </c>
      <c r="D63" s="9" t="str">
        <f t="shared" si="0"/>
        <v>35-44</v>
      </c>
      <c r="E63" s="8">
        <v>36</v>
      </c>
      <c r="F63" s="1" t="s">
        <v>22</v>
      </c>
      <c r="G63" s="4">
        <v>44688</v>
      </c>
      <c r="H63" s="1" t="s">
        <v>755</v>
      </c>
      <c r="I63" s="2" t="s">
        <v>267</v>
      </c>
      <c r="J63" t="s">
        <v>15</v>
      </c>
      <c r="K63" t="s">
        <v>759</v>
      </c>
    </row>
    <row r="64" spans="1:11" x14ac:dyDescent="0.35">
      <c r="A64" s="1" t="s">
        <v>268</v>
      </c>
      <c r="B64" s="1" t="s">
        <v>269</v>
      </c>
      <c r="C64" s="1" t="s">
        <v>270</v>
      </c>
      <c r="D64" s="9" t="str">
        <f t="shared" si="0"/>
        <v>35-44</v>
      </c>
      <c r="E64" s="8">
        <v>43</v>
      </c>
      <c r="F64" s="1" t="s">
        <v>14</v>
      </c>
      <c r="G64" s="4">
        <v>44690</v>
      </c>
      <c r="H64" s="1" t="s">
        <v>758</v>
      </c>
      <c r="I64" s="2" t="s">
        <v>271</v>
      </c>
      <c r="J64" t="s">
        <v>24</v>
      </c>
      <c r="K64" t="s">
        <v>761</v>
      </c>
    </row>
    <row r="65" spans="1:11" x14ac:dyDescent="0.35">
      <c r="A65" s="1" t="s">
        <v>272</v>
      </c>
      <c r="B65" s="1" t="s">
        <v>273</v>
      </c>
      <c r="C65" s="1" t="s">
        <v>274</v>
      </c>
      <c r="D65" s="9" t="str">
        <f t="shared" si="0"/>
        <v>25-34</v>
      </c>
      <c r="E65" s="8">
        <v>32</v>
      </c>
      <c r="F65" s="1" t="s">
        <v>22</v>
      </c>
      <c r="G65" s="4">
        <v>44690</v>
      </c>
      <c r="H65" s="1" t="s">
        <v>758</v>
      </c>
      <c r="I65" s="2">
        <v>910</v>
      </c>
      <c r="J65" t="s">
        <v>24</v>
      </c>
      <c r="K65" t="s">
        <v>761</v>
      </c>
    </row>
    <row r="66" spans="1:11" x14ac:dyDescent="0.35">
      <c r="A66" s="1" t="s">
        <v>275</v>
      </c>
      <c r="B66" s="1" t="s">
        <v>276</v>
      </c>
      <c r="C66" s="1" t="s">
        <v>277</v>
      </c>
      <c r="D66" s="9" t="str">
        <f t="shared" si="0"/>
        <v>45-54</v>
      </c>
      <c r="E66" s="8">
        <v>54</v>
      </c>
      <c r="F66" s="1" t="s">
        <v>14</v>
      </c>
      <c r="G66" s="4">
        <v>44692</v>
      </c>
      <c r="H66" s="1" t="s">
        <v>32</v>
      </c>
      <c r="I66" s="2" t="s">
        <v>279</v>
      </c>
      <c r="J66" t="s">
        <v>34</v>
      </c>
      <c r="K66" t="s">
        <v>760</v>
      </c>
    </row>
    <row r="67" spans="1:11" x14ac:dyDescent="0.35">
      <c r="A67" s="1" t="s">
        <v>280</v>
      </c>
      <c r="B67" s="1" t="s">
        <v>281</v>
      </c>
      <c r="C67" s="1" t="s">
        <v>282</v>
      </c>
      <c r="D67" s="9" t="str">
        <f t="shared" ref="D67:D130" si="1">VLOOKUP(E67,$L$2:$M$6,2,TRUE)</f>
        <v>45-54</v>
      </c>
      <c r="E67" s="8">
        <v>52</v>
      </c>
      <c r="F67" s="1" t="s">
        <v>22</v>
      </c>
      <c r="G67" s="4">
        <v>44692</v>
      </c>
      <c r="H67" s="1" t="s">
        <v>32</v>
      </c>
      <c r="I67" s="2">
        <v>260</v>
      </c>
      <c r="J67" t="s">
        <v>34</v>
      </c>
      <c r="K67" t="s">
        <v>760</v>
      </c>
    </row>
    <row r="68" spans="1:11" x14ac:dyDescent="0.35">
      <c r="A68" s="1" t="s">
        <v>283</v>
      </c>
      <c r="B68" s="1" t="s">
        <v>284</v>
      </c>
      <c r="C68" s="1" t="s">
        <v>285</v>
      </c>
      <c r="D68" s="9" t="str">
        <f t="shared" si="1"/>
        <v>25-34</v>
      </c>
      <c r="E68" s="8">
        <v>30</v>
      </c>
      <c r="F68" s="1" t="s">
        <v>14</v>
      </c>
      <c r="G68" s="4">
        <v>44692</v>
      </c>
      <c r="H68" s="1" t="s">
        <v>756</v>
      </c>
      <c r="I68" s="2" t="s">
        <v>286</v>
      </c>
      <c r="J68" t="s">
        <v>43</v>
      </c>
      <c r="K68" t="s">
        <v>762</v>
      </c>
    </row>
    <row r="69" spans="1:11" x14ac:dyDescent="0.35">
      <c r="A69" s="1" t="s">
        <v>287</v>
      </c>
      <c r="B69" s="1" t="s">
        <v>288</v>
      </c>
      <c r="C69" s="1" t="s">
        <v>289</v>
      </c>
      <c r="D69" s="9" t="str">
        <f t="shared" si="1"/>
        <v>25-34</v>
      </c>
      <c r="E69" s="8">
        <v>29</v>
      </c>
      <c r="F69" s="1" t="s">
        <v>22</v>
      </c>
      <c r="G69" s="4">
        <v>44692</v>
      </c>
      <c r="H69" s="1" t="s">
        <v>756</v>
      </c>
      <c r="I69" s="2">
        <v>1850</v>
      </c>
      <c r="J69" t="s">
        <v>43</v>
      </c>
      <c r="K69" t="s">
        <v>762</v>
      </c>
    </row>
    <row r="70" spans="1:11" x14ac:dyDescent="0.35">
      <c r="A70" s="1" t="s">
        <v>290</v>
      </c>
      <c r="B70" s="1" t="s">
        <v>291</v>
      </c>
      <c r="C70" s="1" t="s">
        <v>292</v>
      </c>
      <c r="D70" s="9" t="str">
        <f t="shared" si="1"/>
        <v>45-54</v>
      </c>
      <c r="E70" s="8">
        <v>47</v>
      </c>
      <c r="F70" s="1" t="s">
        <v>22</v>
      </c>
      <c r="G70" s="4">
        <v>44692</v>
      </c>
      <c r="H70" s="1" t="s">
        <v>757</v>
      </c>
      <c r="I70" s="2" t="s">
        <v>293</v>
      </c>
      <c r="J70" t="s">
        <v>55</v>
      </c>
      <c r="K70" t="s">
        <v>748</v>
      </c>
    </row>
    <row r="71" spans="1:11" x14ac:dyDescent="0.35">
      <c r="A71" s="1" t="s">
        <v>294</v>
      </c>
      <c r="B71" s="1" t="s">
        <v>295</v>
      </c>
      <c r="C71" s="1" t="s">
        <v>296</v>
      </c>
      <c r="D71" s="9" t="str">
        <f t="shared" si="1"/>
        <v>45-54</v>
      </c>
      <c r="E71" s="8">
        <v>45</v>
      </c>
      <c r="F71" s="1" t="s">
        <v>14</v>
      </c>
      <c r="G71" s="4">
        <v>44694</v>
      </c>
      <c r="H71" s="1" t="s">
        <v>757</v>
      </c>
      <c r="I71" s="2">
        <v>1650</v>
      </c>
      <c r="J71" t="s">
        <v>55</v>
      </c>
      <c r="K71" t="s">
        <v>748</v>
      </c>
    </row>
    <row r="72" spans="1:11" x14ac:dyDescent="0.35">
      <c r="A72" s="1" t="s">
        <v>297</v>
      </c>
      <c r="B72" s="1" t="s">
        <v>298</v>
      </c>
      <c r="C72" s="1" t="s">
        <v>299</v>
      </c>
      <c r="D72" s="9" t="str">
        <f t="shared" si="1"/>
        <v>35-44</v>
      </c>
      <c r="E72" s="8">
        <v>38</v>
      </c>
      <c r="F72" s="1" t="s">
        <v>14</v>
      </c>
      <c r="G72" s="4">
        <v>44694</v>
      </c>
      <c r="H72" s="1" t="s">
        <v>755</v>
      </c>
      <c r="I72" s="2" t="s">
        <v>300</v>
      </c>
      <c r="J72" t="s">
        <v>15</v>
      </c>
      <c r="K72" t="s">
        <v>759</v>
      </c>
    </row>
    <row r="73" spans="1:11" x14ac:dyDescent="0.35">
      <c r="A73" s="1" t="s">
        <v>301</v>
      </c>
      <c r="B73" s="1" t="s">
        <v>302</v>
      </c>
      <c r="C73" s="1" t="s">
        <v>303</v>
      </c>
      <c r="D73" s="9" t="str">
        <f t="shared" si="1"/>
        <v>25-34</v>
      </c>
      <c r="E73" s="8">
        <v>34</v>
      </c>
      <c r="F73" s="1" t="s">
        <v>22</v>
      </c>
      <c r="G73" s="4">
        <v>44699</v>
      </c>
      <c r="H73" s="1" t="s">
        <v>755</v>
      </c>
      <c r="I73" s="2">
        <v>830</v>
      </c>
      <c r="J73" t="s">
        <v>15</v>
      </c>
      <c r="K73" t="s">
        <v>759</v>
      </c>
    </row>
    <row r="74" spans="1:11" x14ac:dyDescent="0.35">
      <c r="A74" s="1" t="s">
        <v>304</v>
      </c>
      <c r="B74" s="1" t="s">
        <v>305</v>
      </c>
      <c r="C74" s="1" t="s">
        <v>306</v>
      </c>
      <c r="D74" s="9" t="str">
        <f t="shared" si="1"/>
        <v>55+</v>
      </c>
      <c r="E74" s="8">
        <v>55</v>
      </c>
      <c r="F74" s="1" t="s">
        <v>14</v>
      </c>
      <c r="G74" s="4">
        <v>44699</v>
      </c>
      <c r="H74" s="1" t="s">
        <v>758</v>
      </c>
      <c r="I74" s="2" t="s">
        <v>307</v>
      </c>
      <c r="J74" t="s">
        <v>24</v>
      </c>
      <c r="K74" t="s">
        <v>761</v>
      </c>
    </row>
    <row r="75" spans="1:11" x14ac:dyDescent="0.35">
      <c r="A75" s="1" t="s">
        <v>308</v>
      </c>
      <c r="B75" s="1" t="s">
        <v>309</v>
      </c>
      <c r="C75" s="1" t="s">
        <v>310</v>
      </c>
      <c r="D75" s="9" t="str">
        <f t="shared" si="1"/>
        <v>45-54</v>
      </c>
      <c r="E75" s="8">
        <v>50</v>
      </c>
      <c r="F75" s="1" t="s">
        <v>22</v>
      </c>
      <c r="G75" s="4">
        <v>44710</v>
      </c>
      <c r="H75" s="1" t="s">
        <v>758</v>
      </c>
      <c r="I75" s="2" t="s">
        <v>311</v>
      </c>
      <c r="J75" t="s">
        <v>24</v>
      </c>
      <c r="K75" t="s">
        <v>761</v>
      </c>
    </row>
    <row r="76" spans="1:11" x14ac:dyDescent="0.35">
      <c r="A76" s="1" t="s">
        <v>312</v>
      </c>
      <c r="B76" s="1" t="s">
        <v>313</v>
      </c>
      <c r="C76" s="1" t="s">
        <v>314</v>
      </c>
      <c r="D76" s="9" t="str">
        <f t="shared" si="1"/>
        <v>35-44</v>
      </c>
      <c r="E76" s="8">
        <v>35</v>
      </c>
      <c r="F76" s="1" t="s">
        <v>14</v>
      </c>
      <c r="G76" s="4">
        <v>44710</v>
      </c>
      <c r="H76" s="1" t="s">
        <v>32</v>
      </c>
      <c r="I76" s="2" t="s">
        <v>315</v>
      </c>
      <c r="J76" t="s">
        <v>34</v>
      </c>
      <c r="K76" t="s">
        <v>760</v>
      </c>
    </row>
    <row r="77" spans="1:11" x14ac:dyDescent="0.35">
      <c r="A77" s="1" t="s">
        <v>316</v>
      </c>
      <c r="B77" s="1" t="s">
        <v>317</v>
      </c>
      <c r="C77" s="1" t="s">
        <v>318</v>
      </c>
      <c r="D77" s="9" t="str">
        <f t="shared" si="1"/>
        <v>25-34</v>
      </c>
      <c r="E77" s="8">
        <v>33</v>
      </c>
      <c r="F77" s="1" t="s">
        <v>22</v>
      </c>
      <c r="G77" s="4">
        <v>44714</v>
      </c>
      <c r="H77" s="1" t="s">
        <v>32</v>
      </c>
      <c r="I77" s="2">
        <v>490</v>
      </c>
      <c r="J77" t="s">
        <v>34</v>
      </c>
      <c r="K77" t="s">
        <v>760</v>
      </c>
    </row>
    <row r="78" spans="1:11" x14ac:dyDescent="0.35">
      <c r="A78" s="1" t="s">
        <v>319</v>
      </c>
      <c r="B78" s="1" t="s">
        <v>320</v>
      </c>
      <c r="C78" s="1" t="s">
        <v>321</v>
      </c>
      <c r="D78" s="9" t="str">
        <f t="shared" si="1"/>
        <v>25-34</v>
      </c>
      <c r="E78" s="8">
        <v>27</v>
      </c>
      <c r="F78" s="1" t="s">
        <v>14</v>
      </c>
      <c r="G78" s="4">
        <v>44714</v>
      </c>
      <c r="H78" s="1" t="s">
        <v>756</v>
      </c>
      <c r="I78" s="2" t="s">
        <v>322</v>
      </c>
      <c r="J78" t="s">
        <v>43</v>
      </c>
      <c r="K78" t="s">
        <v>762</v>
      </c>
    </row>
    <row r="79" spans="1:11" x14ac:dyDescent="0.35">
      <c r="A79" s="1" t="s">
        <v>323</v>
      </c>
      <c r="B79" s="1" t="s">
        <v>324</v>
      </c>
      <c r="C79" s="1" t="s">
        <v>325</v>
      </c>
      <c r="D79" s="9" t="str">
        <f t="shared" si="1"/>
        <v>25-34</v>
      </c>
      <c r="E79" s="8">
        <v>26</v>
      </c>
      <c r="F79" s="1" t="s">
        <v>22</v>
      </c>
      <c r="G79" s="4">
        <v>44719</v>
      </c>
      <c r="H79" s="1" t="s">
        <v>756</v>
      </c>
      <c r="I79" s="2">
        <v>2300</v>
      </c>
      <c r="J79" t="s">
        <v>746</v>
      </c>
      <c r="K79" t="s">
        <v>762</v>
      </c>
    </row>
    <row r="80" spans="1:11" x14ac:dyDescent="0.35">
      <c r="A80" s="1" t="s">
        <v>326</v>
      </c>
      <c r="B80" s="1" t="s">
        <v>327</v>
      </c>
      <c r="C80" s="1" t="s">
        <v>328</v>
      </c>
      <c r="D80" s="9" t="str">
        <f t="shared" si="1"/>
        <v>45-54</v>
      </c>
      <c r="E80" s="8">
        <v>51</v>
      </c>
      <c r="F80" s="1" t="s">
        <v>14</v>
      </c>
      <c r="G80" s="4">
        <v>44719</v>
      </c>
      <c r="H80" s="1" t="s">
        <v>757</v>
      </c>
      <c r="I80" s="2" t="s">
        <v>329</v>
      </c>
      <c r="J80" t="s">
        <v>55</v>
      </c>
      <c r="K80" t="s">
        <v>748</v>
      </c>
    </row>
    <row r="81" spans="1:11" x14ac:dyDescent="0.35">
      <c r="A81" s="1" t="s">
        <v>330</v>
      </c>
      <c r="B81" s="1" t="s">
        <v>331</v>
      </c>
      <c r="C81" s="1" t="s">
        <v>332</v>
      </c>
      <c r="D81" s="9" t="str">
        <f t="shared" si="1"/>
        <v>45-54</v>
      </c>
      <c r="E81" s="8">
        <v>49</v>
      </c>
      <c r="F81" s="1" t="s">
        <v>22</v>
      </c>
      <c r="G81" s="4">
        <v>44723</v>
      </c>
      <c r="H81" s="1" t="s">
        <v>757</v>
      </c>
      <c r="I81" s="2">
        <v>1450</v>
      </c>
      <c r="J81" t="s">
        <v>55</v>
      </c>
      <c r="K81" t="s">
        <v>748</v>
      </c>
    </row>
    <row r="82" spans="1:11" x14ac:dyDescent="0.35">
      <c r="A82" s="1" t="s">
        <v>333</v>
      </c>
      <c r="B82" s="1" t="s">
        <v>334</v>
      </c>
      <c r="C82" s="1" t="s">
        <v>335</v>
      </c>
      <c r="D82" s="9" t="str">
        <f t="shared" si="1"/>
        <v>35-44</v>
      </c>
      <c r="E82" s="8">
        <v>39</v>
      </c>
      <c r="F82" s="1" t="s">
        <v>14</v>
      </c>
      <c r="G82" s="4">
        <v>44723</v>
      </c>
      <c r="H82" s="1" t="s">
        <v>755</v>
      </c>
      <c r="I82" s="2">
        <v>1310</v>
      </c>
      <c r="J82" t="s">
        <v>15</v>
      </c>
      <c r="K82" t="s">
        <v>759</v>
      </c>
    </row>
    <row r="83" spans="1:11" x14ac:dyDescent="0.35">
      <c r="A83" s="1" t="s">
        <v>336</v>
      </c>
      <c r="B83" s="1" t="s">
        <v>337</v>
      </c>
      <c r="C83" s="1" t="s">
        <v>338</v>
      </c>
      <c r="D83" s="9" t="str">
        <f t="shared" si="1"/>
        <v>35-44</v>
      </c>
      <c r="E83" s="8">
        <v>36</v>
      </c>
      <c r="F83" s="1" t="s">
        <v>22</v>
      </c>
      <c r="G83" s="4">
        <v>44725</v>
      </c>
      <c r="H83" s="1" t="s">
        <v>755</v>
      </c>
      <c r="I83" s="2" t="s">
        <v>339</v>
      </c>
      <c r="J83" t="s">
        <v>15</v>
      </c>
      <c r="K83" t="s">
        <v>759</v>
      </c>
    </row>
    <row r="84" spans="1:11" x14ac:dyDescent="0.35">
      <c r="A84" s="1" t="s">
        <v>340</v>
      </c>
      <c r="B84" s="1" t="s">
        <v>341</v>
      </c>
      <c r="C84" s="1" t="s">
        <v>342</v>
      </c>
      <c r="D84" s="9" t="str">
        <f t="shared" si="1"/>
        <v>35-44</v>
      </c>
      <c r="E84" s="8">
        <v>44</v>
      </c>
      <c r="F84" s="1" t="s">
        <v>14</v>
      </c>
      <c r="G84" s="4">
        <v>44725</v>
      </c>
      <c r="H84" s="1" t="s">
        <v>758</v>
      </c>
      <c r="I84" s="2" t="s">
        <v>343</v>
      </c>
      <c r="J84" t="s">
        <v>24</v>
      </c>
      <c r="K84" t="s">
        <v>761</v>
      </c>
    </row>
    <row r="85" spans="1:11" x14ac:dyDescent="0.35">
      <c r="A85" s="1" t="s">
        <v>344</v>
      </c>
      <c r="B85" s="1" t="s">
        <v>345</v>
      </c>
      <c r="C85" s="1" t="s">
        <v>346</v>
      </c>
      <c r="D85" s="9" t="str">
        <f t="shared" si="1"/>
        <v>25-34</v>
      </c>
      <c r="E85" s="8">
        <v>33</v>
      </c>
      <c r="F85" s="1" t="s">
        <v>22</v>
      </c>
      <c r="G85" s="4">
        <v>44726</v>
      </c>
      <c r="H85" s="1" t="s">
        <v>758</v>
      </c>
      <c r="I85" s="2">
        <v>920</v>
      </c>
      <c r="J85" t="s">
        <v>24</v>
      </c>
      <c r="K85" t="s">
        <v>761</v>
      </c>
    </row>
    <row r="86" spans="1:11" x14ac:dyDescent="0.35">
      <c r="A86" s="1" t="s">
        <v>347</v>
      </c>
      <c r="B86" s="1" t="s">
        <v>348</v>
      </c>
      <c r="C86" s="1" t="s">
        <v>349</v>
      </c>
      <c r="D86" s="9" t="str">
        <f t="shared" si="1"/>
        <v>55+</v>
      </c>
      <c r="E86" s="8">
        <v>55</v>
      </c>
      <c r="F86" s="1" t="s">
        <v>14</v>
      </c>
      <c r="G86" s="4">
        <v>44726</v>
      </c>
      <c r="H86" s="1" t="s">
        <v>32</v>
      </c>
      <c r="I86" s="2" t="s">
        <v>350</v>
      </c>
      <c r="J86" t="s">
        <v>34</v>
      </c>
      <c r="K86" t="s">
        <v>760</v>
      </c>
    </row>
    <row r="87" spans="1:11" x14ac:dyDescent="0.35">
      <c r="A87" s="1" t="s">
        <v>351</v>
      </c>
      <c r="B87" s="1" t="s">
        <v>352</v>
      </c>
      <c r="C87" s="1" t="s">
        <v>353</v>
      </c>
      <c r="D87" s="9" t="str">
        <f t="shared" si="1"/>
        <v>45-54</v>
      </c>
      <c r="E87" s="8">
        <v>53</v>
      </c>
      <c r="F87" s="1" t="s">
        <v>22</v>
      </c>
      <c r="G87" s="4">
        <v>44731</v>
      </c>
      <c r="H87" s="1" t="s">
        <v>32</v>
      </c>
      <c r="I87" s="2">
        <v>265</v>
      </c>
      <c r="J87" t="s">
        <v>34</v>
      </c>
      <c r="K87" t="s">
        <v>760</v>
      </c>
    </row>
    <row r="88" spans="1:11" x14ac:dyDescent="0.35">
      <c r="A88" s="1" t="s">
        <v>354</v>
      </c>
      <c r="B88" s="1" t="s">
        <v>355</v>
      </c>
      <c r="C88" s="1" t="s">
        <v>356</v>
      </c>
      <c r="D88" s="9" t="str">
        <f t="shared" si="1"/>
        <v>25-34</v>
      </c>
      <c r="E88" s="8">
        <v>31</v>
      </c>
      <c r="F88" s="1" t="s">
        <v>22</v>
      </c>
      <c r="G88" s="4">
        <v>44731</v>
      </c>
      <c r="H88" s="1" t="s">
        <v>756</v>
      </c>
      <c r="I88" s="2" t="s">
        <v>357</v>
      </c>
      <c r="J88" t="s">
        <v>43</v>
      </c>
      <c r="K88" t="s">
        <v>762</v>
      </c>
    </row>
    <row r="89" spans="1:11" x14ac:dyDescent="0.35">
      <c r="A89" s="1" t="s">
        <v>358</v>
      </c>
      <c r="B89" s="1" t="s">
        <v>359</v>
      </c>
      <c r="C89" s="1" t="s">
        <v>360</v>
      </c>
      <c r="D89" s="9" t="str">
        <f t="shared" si="1"/>
        <v>25-34</v>
      </c>
      <c r="E89" s="8">
        <v>29</v>
      </c>
      <c r="F89" s="1" t="s">
        <v>14</v>
      </c>
      <c r="G89" s="4">
        <v>44732</v>
      </c>
      <c r="H89" s="1" t="s">
        <v>756</v>
      </c>
      <c r="I89" s="2">
        <v>1900</v>
      </c>
      <c r="J89" t="s">
        <v>43</v>
      </c>
      <c r="K89" t="s">
        <v>762</v>
      </c>
    </row>
    <row r="90" spans="1:11" x14ac:dyDescent="0.35">
      <c r="A90" s="1" t="s">
        <v>361</v>
      </c>
      <c r="B90" s="1" t="s">
        <v>362</v>
      </c>
      <c r="C90" s="1" t="s">
        <v>363</v>
      </c>
      <c r="D90" s="9" t="str">
        <f t="shared" si="1"/>
        <v>45-54</v>
      </c>
      <c r="E90" s="8">
        <v>48</v>
      </c>
      <c r="F90" s="1" t="s">
        <v>14</v>
      </c>
      <c r="G90" s="4">
        <v>44732</v>
      </c>
      <c r="H90" s="1" t="s">
        <v>757</v>
      </c>
      <c r="I90" s="2" t="s">
        <v>364</v>
      </c>
      <c r="J90" t="s">
        <v>55</v>
      </c>
      <c r="K90" t="s">
        <v>748</v>
      </c>
    </row>
    <row r="91" spans="1:11" x14ac:dyDescent="0.35">
      <c r="A91" s="1" t="s">
        <v>365</v>
      </c>
      <c r="B91" s="1" t="s">
        <v>366</v>
      </c>
      <c r="C91" s="1" t="s">
        <v>367</v>
      </c>
      <c r="D91" s="9" t="str">
        <f t="shared" si="1"/>
        <v>45-54</v>
      </c>
      <c r="E91" s="8">
        <v>46</v>
      </c>
      <c r="F91" s="1" t="s">
        <v>22</v>
      </c>
      <c r="G91" s="4">
        <v>44735</v>
      </c>
      <c r="H91" s="1" t="s">
        <v>757</v>
      </c>
      <c r="I91" s="2">
        <v>1680</v>
      </c>
      <c r="J91" t="s">
        <v>55</v>
      </c>
      <c r="K91" t="s">
        <v>748</v>
      </c>
    </row>
    <row r="92" spans="1:11" x14ac:dyDescent="0.35">
      <c r="A92" s="1" t="s">
        <v>368</v>
      </c>
      <c r="B92" s="1" t="s">
        <v>369</v>
      </c>
      <c r="C92" s="1" t="s">
        <v>370</v>
      </c>
      <c r="D92" s="9" t="str">
        <f t="shared" si="1"/>
        <v>35-44</v>
      </c>
      <c r="E92" s="8">
        <v>37</v>
      </c>
      <c r="F92" s="1" t="s">
        <v>14</v>
      </c>
      <c r="G92" s="4">
        <v>44735</v>
      </c>
      <c r="H92" s="1" t="s">
        <v>755</v>
      </c>
      <c r="I92" s="2" t="s">
        <v>371</v>
      </c>
      <c r="J92" t="s">
        <v>15</v>
      </c>
      <c r="K92" t="s">
        <v>759</v>
      </c>
    </row>
    <row r="93" spans="1:11" x14ac:dyDescent="0.35">
      <c r="A93" s="1" t="s">
        <v>372</v>
      </c>
      <c r="B93" s="1" t="s">
        <v>373</v>
      </c>
      <c r="C93" s="1" t="s">
        <v>374</v>
      </c>
      <c r="D93" s="9" t="str">
        <f t="shared" si="1"/>
        <v>25-34</v>
      </c>
      <c r="E93" s="8">
        <v>34</v>
      </c>
      <c r="F93" s="1" t="s">
        <v>22</v>
      </c>
      <c r="G93" s="4">
        <v>44738</v>
      </c>
      <c r="H93" s="1" t="s">
        <v>755</v>
      </c>
      <c r="I93" s="2">
        <v>840</v>
      </c>
      <c r="J93" t="s">
        <v>15</v>
      </c>
      <c r="K93" t="s">
        <v>759</v>
      </c>
    </row>
    <row r="94" spans="1:11" x14ac:dyDescent="0.35">
      <c r="A94" s="1" t="s">
        <v>375</v>
      </c>
      <c r="B94" s="1" t="s">
        <v>376</v>
      </c>
      <c r="C94" s="1" t="s">
        <v>377</v>
      </c>
      <c r="D94" s="9" t="str">
        <f t="shared" si="1"/>
        <v>55+</v>
      </c>
      <c r="E94" s="8">
        <v>56</v>
      </c>
      <c r="F94" s="1" t="s">
        <v>14</v>
      </c>
      <c r="G94" s="4">
        <v>44738</v>
      </c>
      <c r="H94" s="1" t="s">
        <v>758</v>
      </c>
      <c r="I94" s="2" t="s">
        <v>155</v>
      </c>
      <c r="J94" t="s">
        <v>24</v>
      </c>
      <c r="K94" t="s">
        <v>761</v>
      </c>
    </row>
    <row r="95" spans="1:11" x14ac:dyDescent="0.35">
      <c r="A95" s="1" t="s">
        <v>379</v>
      </c>
      <c r="B95" s="1" t="s">
        <v>380</v>
      </c>
      <c r="C95" s="1" t="s">
        <v>381</v>
      </c>
      <c r="D95" s="9" t="str">
        <f t="shared" si="1"/>
        <v>45-54</v>
      </c>
      <c r="E95" s="8">
        <v>51</v>
      </c>
      <c r="F95" s="1" t="s">
        <v>22</v>
      </c>
      <c r="G95" s="4">
        <v>44742</v>
      </c>
      <c r="H95" s="1" t="s">
        <v>758</v>
      </c>
      <c r="I95" s="2" t="s">
        <v>159</v>
      </c>
      <c r="J95" t="s">
        <v>24</v>
      </c>
      <c r="K95" t="s">
        <v>761</v>
      </c>
    </row>
    <row r="96" spans="1:11" x14ac:dyDescent="0.35">
      <c r="A96" s="1" t="s">
        <v>382</v>
      </c>
      <c r="B96" s="1" t="s">
        <v>383</v>
      </c>
      <c r="C96" s="1" t="s">
        <v>384</v>
      </c>
      <c r="D96" s="9" t="str">
        <f t="shared" si="1"/>
        <v>35-44</v>
      </c>
      <c r="E96" s="8">
        <v>36</v>
      </c>
      <c r="F96" s="1" t="s">
        <v>14</v>
      </c>
      <c r="G96" s="4">
        <v>44742</v>
      </c>
      <c r="H96" s="1" t="s">
        <v>32</v>
      </c>
      <c r="I96" s="2" t="s">
        <v>385</v>
      </c>
      <c r="J96" t="s">
        <v>34</v>
      </c>
      <c r="K96" t="s">
        <v>760</v>
      </c>
    </row>
    <row r="97" spans="1:11" x14ac:dyDescent="0.35">
      <c r="A97" s="1" t="s">
        <v>386</v>
      </c>
      <c r="B97" s="1" t="s">
        <v>387</v>
      </c>
      <c r="C97" s="1" t="s">
        <v>388</v>
      </c>
      <c r="D97" s="9" t="str">
        <f t="shared" si="1"/>
        <v>25-34</v>
      </c>
      <c r="E97" s="8">
        <v>33</v>
      </c>
      <c r="F97" s="1" t="s">
        <v>22</v>
      </c>
      <c r="G97" s="4">
        <v>44743</v>
      </c>
      <c r="H97" s="1" t="s">
        <v>32</v>
      </c>
      <c r="I97" s="2">
        <v>495</v>
      </c>
      <c r="J97" t="s">
        <v>34</v>
      </c>
      <c r="K97" t="s">
        <v>760</v>
      </c>
    </row>
    <row r="98" spans="1:11" x14ac:dyDescent="0.35">
      <c r="A98" s="1" t="s">
        <v>389</v>
      </c>
      <c r="B98" s="1" t="s">
        <v>390</v>
      </c>
      <c r="C98" s="1" t="s">
        <v>391</v>
      </c>
      <c r="D98" s="9" t="str">
        <f t="shared" si="1"/>
        <v>25-34</v>
      </c>
      <c r="E98" s="8">
        <v>28</v>
      </c>
      <c r="F98" s="1" t="s">
        <v>14</v>
      </c>
      <c r="G98" s="4">
        <v>44743</v>
      </c>
      <c r="H98" s="1" t="s">
        <v>756</v>
      </c>
      <c r="I98" s="2" t="s">
        <v>392</v>
      </c>
      <c r="J98" t="s">
        <v>43</v>
      </c>
      <c r="K98" t="s">
        <v>762</v>
      </c>
    </row>
    <row r="99" spans="1:11" x14ac:dyDescent="0.35">
      <c r="A99" s="1" t="s">
        <v>393</v>
      </c>
      <c r="B99" s="1" t="s">
        <v>394</v>
      </c>
      <c r="C99" s="1" t="s">
        <v>395</v>
      </c>
      <c r="D99" s="9" t="str">
        <f t="shared" si="1"/>
        <v>25-34</v>
      </c>
      <c r="E99" s="8">
        <v>27</v>
      </c>
      <c r="F99" s="1" t="s">
        <v>22</v>
      </c>
      <c r="G99" s="4">
        <v>44744</v>
      </c>
      <c r="H99" s="1" t="s">
        <v>756</v>
      </c>
      <c r="I99" s="2">
        <v>2350</v>
      </c>
      <c r="J99" t="s">
        <v>43</v>
      </c>
      <c r="K99" t="s">
        <v>762</v>
      </c>
    </row>
    <row r="100" spans="1:11" x14ac:dyDescent="0.35">
      <c r="A100" s="1" t="s">
        <v>396</v>
      </c>
      <c r="B100" s="1" t="s">
        <v>397</v>
      </c>
      <c r="C100" s="1" t="s">
        <v>398</v>
      </c>
      <c r="D100" s="9" t="str">
        <f t="shared" si="1"/>
        <v>45-54</v>
      </c>
      <c r="E100" s="8">
        <v>52</v>
      </c>
      <c r="F100" s="1" t="s">
        <v>14</v>
      </c>
      <c r="G100" s="4">
        <v>44744</v>
      </c>
      <c r="H100" s="1" t="s">
        <v>757</v>
      </c>
      <c r="I100" s="2" t="s">
        <v>98</v>
      </c>
      <c r="J100" t="s">
        <v>55</v>
      </c>
      <c r="K100" t="s">
        <v>748</v>
      </c>
    </row>
    <row r="101" spans="1:11" x14ac:dyDescent="0.35">
      <c r="A101" s="1" t="s">
        <v>399</v>
      </c>
      <c r="B101" s="1" t="s">
        <v>400</v>
      </c>
      <c r="C101" s="1" t="s">
        <v>401</v>
      </c>
      <c r="D101" s="9" t="str">
        <f t="shared" si="1"/>
        <v>45-54</v>
      </c>
      <c r="E101" s="8">
        <v>49</v>
      </c>
      <c r="F101" s="1" t="s">
        <v>22</v>
      </c>
      <c r="G101" s="4">
        <v>44747</v>
      </c>
      <c r="H101" s="1" t="s">
        <v>757</v>
      </c>
      <c r="I101" s="2">
        <v>1500</v>
      </c>
      <c r="J101" t="s">
        <v>55</v>
      </c>
      <c r="K101" t="s">
        <v>748</v>
      </c>
    </row>
    <row r="102" spans="1:11" x14ac:dyDescent="0.35">
      <c r="A102" s="1" t="s">
        <v>402</v>
      </c>
      <c r="B102" s="1" t="s">
        <v>403</v>
      </c>
      <c r="C102" s="1" t="s">
        <v>404</v>
      </c>
      <c r="D102" s="9" t="str">
        <f t="shared" si="1"/>
        <v>35-44</v>
      </c>
      <c r="E102" s="8">
        <v>40</v>
      </c>
      <c r="F102" s="1" t="s">
        <v>14</v>
      </c>
      <c r="G102" s="4">
        <v>44747</v>
      </c>
      <c r="H102" s="1" t="s">
        <v>755</v>
      </c>
      <c r="I102" s="2">
        <v>1320</v>
      </c>
      <c r="J102" t="s">
        <v>15</v>
      </c>
      <c r="K102" t="s">
        <v>759</v>
      </c>
    </row>
    <row r="103" spans="1:11" x14ac:dyDescent="0.35">
      <c r="A103" s="1" t="s">
        <v>405</v>
      </c>
      <c r="B103" s="1" t="s">
        <v>406</v>
      </c>
      <c r="C103" s="1" t="s">
        <v>407</v>
      </c>
      <c r="D103" s="9" t="str">
        <f t="shared" si="1"/>
        <v>35-44</v>
      </c>
      <c r="E103" s="8">
        <v>37</v>
      </c>
      <c r="F103" s="1" t="s">
        <v>22</v>
      </c>
      <c r="G103" s="4">
        <v>44751</v>
      </c>
      <c r="H103" s="1" t="s">
        <v>755</v>
      </c>
      <c r="I103" s="2" t="s">
        <v>408</v>
      </c>
      <c r="J103" t="s">
        <v>15</v>
      </c>
      <c r="K103" t="s">
        <v>759</v>
      </c>
    </row>
    <row r="104" spans="1:11" x14ac:dyDescent="0.35">
      <c r="A104" s="1" t="s">
        <v>409</v>
      </c>
      <c r="B104" s="1" t="s">
        <v>410</v>
      </c>
      <c r="C104" s="1" t="s">
        <v>411</v>
      </c>
      <c r="D104" s="9" t="str">
        <f t="shared" si="1"/>
        <v>45-54</v>
      </c>
      <c r="E104" s="8">
        <v>45</v>
      </c>
      <c r="F104" s="1" t="s">
        <v>14</v>
      </c>
      <c r="G104" s="4">
        <v>44751</v>
      </c>
      <c r="H104" s="1" t="s">
        <v>758</v>
      </c>
      <c r="I104" s="2" t="s">
        <v>412</v>
      </c>
      <c r="J104" t="s">
        <v>24</v>
      </c>
      <c r="K104" t="s">
        <v>761</v>
      </c>
    </row>
    <row r="105" spans="1:11" x14ac:dyDescent="0.35">
      <c r="A105" s="1" t="s">
        <v>413</v>
      </c>
      <c r="B105" s="1" t="s">
        <v>414</v>
      </c>
      <c r="C105" s="1" t="s">
        <v>415</v>
      </c>
      <c r="D105" s="9" t="str">
        <f t="shared" si="1"/>
        <v>25-34</v>
      </c>
      <c r="E105" s="8">
        <v>34</v>
      </c>
      <c r="F105" s="1" t="s">
        <v>22</v>
      </c>
      <c r="G105" s="4">
        <v>44751</v>
      </c>
      <c r="H105" s="1" t="s">
        <v>758</v>
      </c>
      <c r="I105" s="2">
        <v>930</v>
      </c>
      <c r="J105" t="s">
        <v>24</v>
      </c>
      <c r="K105" t="s">
        <v>761</v>
      </c>
    </row>
    <row r="106" spans="1:11" x14ac:dyDescent="0.35">
      <c r="A106" s="1" t="s">
        <v>416</v>
      </c>
      <c r="B106" s="1" t="s">
        <v>417</v>
      </c>
      <c r="C106" s="1" t="s">
        <v>418</v>
      </c>
      <c r="D106" s="9" t="str">
        <f t="shared" si="1"/>
        <v>55+</v>
      </c>
      <c r="E106" s="8">
        <v>56</v>
      </c>
      <c r="F106" s="1" t="s">
        <v>14</v>
      </c>
      <c r="G106" s="4">
        <v>44751</v>
      </c>
      <c r="H106" s="1" t="s">
        <v>32</v>
      </c>
      <c r="I106" s="2" t="s">
        <v>419</v>
      </c>
      <c r="J106" t="s">
        <v>34</v>
      </c>
      <c r="K106" t="s">
        <v>760</v>
      </c>
    </row>
    <row r="107" spans="1:11" x14ac:dyDescent="0.35">
      <c r="A107" s="1" t="s">
        <v>420</v>
      </c>
      <c r="B107" s="1" t="s">
        <v>421</v>
      </c>
      <c r="C107" s="1" t="s">
        <v>422</v>
      </c>
      <c r="D107" s="9" t="str">
        <f t="shared" si="1"/>
        <v>45-54</v>
      </c>
      <c r="E107" s="8">
        <v>54</v>
      </c>
      <c r="F107" s="1" t="s">
        <v>22</v>
      </c>
      <c r="G107" s="4">
        <v>44753</v>
      </c>
      <c r="H107" s="1" t="s">
        <v>32</v>
      </c>
      <c r="I107" s="2">
        <v>270</v>
      </c>
      <c r="J107" t="s">
        <v>34</v>
      </c>
      <c r="K107" t="s">
        <v>760</v>
      </c>
    </row>
    <row r="108" spans="1:11" x14ac:dyDescent="0.35">
      <c r="A108" s="1" t="s">
        <v>423</v>
      </c>
      <c r="B108" s="1" t="s">
        <v>424</v>
      </c>
      <c r="C108" s="1" t="s">
        <v>425</v>
      </c>
      <c r="D108" s="9" t="str">
        <f t="shared" si="1"/>
        <v>25-34</v>
      </c>
      <c r="E108" s="8">
        <v>32</v>
      </c>
      <c r="F108" s="1" t="s">
        <v>14</v>
      </c>
      <c r="G108" s="4">
        <v>44753</v>
      </c>
      <c r="H108" s="1" t="s">
        <v>756</v>
      </c>
      <c r="I108" s="2" t="s">
        <v>426</v>
      </c>
      <c r="J108" t="s">
        <v>43</v>
      </c>
      <c r="K108" t="s">
        <v>762</v>
      </c>
    </row>
    <row r="109" spans="1:11" x14ac:dyDescent="0.35">
      <c r="A109" s="1" t="s">
        <v>427</v>
      </c>
      <c r="B109" s="1" t="s">
        <v>428</v>
      </c>
      <c r="C109" s="1" t="s">
        <v>429</v>
      </c>
      <c r="D109" s="9" t="str">
        <f t="shared" si="1"/>
        <v>25-34</v>
      </c>
      <c r="E109" s="8">
        <v>30</v>
      </c>
      <c r="F109" s="1" t="s">
        <v>22</v>
      </c>
      <c r="G109" s="4">
        <v>44757</v>
      </c>
      <c r="H109" s="1" t="s">
        <v>756</v>
      </c>
      <c r="I109" s="2">
        <v>1920</v>
      </c>
      <c r="J109" t="s">
        <v>43</v>
      </c>
      <c r="K109" t="s">
        <v>762</v>
      </c>
    </row>
    <row r="110" spans="1:11" x14ac:dyDescent="0.35">
      <c r="A110" s="1" t="s">
        <v>430</v>
      </c>
      <c r="B110" s="1" t="s">
        <v>431</v>
      </c>
      <c r="C110" s="1" t="s">
        <v>432</v>
      </c>
      <c r="D110" s="9" t="str">
        <f t="shared" si="1"/>
        <v>45-54</v>
      </c>
      <c r="E110" s="8">
        <v>49</v>
      </c>
      <c r="F110" s="1" t="s">
        <v>22</v>
      </c>
      <c r="G110" s="4">
        <v>44757</v>
      </c>
      <c r="H110" s="1" t="s">
        <v>757</v>
      </c>
      <c r="I110" s="2" t="s">
        <v>433</v>
      </c>
      <c r="J110" t="s">
        <v>55</v>
      </c>
      <c r="K110" t="s">
        <v>748</v>
      </c>
    </row>
    <row r="111" spans="1:11" x14ac:dyDescent="0.35">
      <c r="A111" s="1" t="s">
        <v>434</v>
      </c>
      <c r="B111" s="1" t="s">
        <v>435</v>
      </c>
      <c r="C111" s="1" t="s">
        <v>436</v>
      </c>
      <c r="D111" s="9" t="str">
        <f t="shared" si="1"/>
        <v>45-54</v>
      </c>
      <c r="E111" s="8">
        <v>47</v>
      </c>
      <c r="F111" s="1" t="s">
        <v>14</v>
      </c>
      <c r="G111" s="4">
        <v>44760</v>
      </c>
      <c r="H111" s="1" t="s">
        <v>757</v>
      </c>
      <c r="I111" s="2" t="s">
        <v>747</v>
      </c>
      <c r="J111" t="s">
        <v>55</v>
      </c>
      <c r="K111" t="s">
        <v>748</v>
      </c>
    </row>
    <row r="112" spans="1:11" x14ac:dyDescent="0.35">
      <c r="A112" s="1" t="s">
        <v>437</v>
      </c>
      <c r="B112" s="1" t="s">
        <v>438</v>
      </c>
      <c r="C112" s="1" t="s">
        <v>439</v>
      </c>
      <c r="D112" s="9" t="str">
        <f t="shared" si="1"/>
        <v>35-44</v>
      </c>
      <c r="E112" s="8">
        <v>39</v>
      </c>
      <c r="F112" s="1" t="s">
        <v>14</v>
      </c>
      <c r="G112" s="4">
        <v>44760</v>
      </c>
      <c r="H112" s="1" t="s">
        <v>755</v>
      </c>
      <c r="I112" s="2" t="s">
        <v>148</v>
      </c>
      <c r="J112" t="s">
        <v>15</v>
      </c>
      <c r="K112" t="s">
        <v>759</v>
      </c>
    </row>
    <row r="113" spans="1:11" x14ac:dyDescent="0.35">
      <c r="A113" s="1" t="s">
        <v>440</v>
      </c>
      <c r="B113" s="1" t="s">
        <v>441</v>
      </c>
      <c r="C113" s="1" t="s">
        <v>442</v>
      </c>
      <c r="D113" s="9" t="str">
        <f t="shared" si="1"/>
        <v>35-44</v>
      </c>
      <c r="E113" s="8">
        <v>35</v>
      </c>
      <c r="F113" s="1" t="s">
        <v>22</v>
      </c>
      <c r="G113" s="4">
        <v>44761</v>
      </c>
      <c r="H113" s="1" t="s">
        <v>755</v>
      </c>
      <c r="I113" s="2">
        <v>850</v>
      </c>
      <c r="J113" t="s">
        <v>15</v>
      </c>
      <c r="K113" t="s">
        <v>759</v>
      </c>
    </row>
    <row r="114" spans="1:11" x14ac:dyDescent="0.35">
      <c r="A114" s="1" t="s">
        <v>443</v>
      </c>
      <c r="B114" s="1" t="s">
        <v>444</v>
      </c>
      <c r="C114" s="1" t="s">
        <v>445</v>
      </c>
      <c r="D114" s="9" t="str">
        <f t="shared" si="1"/>
        <v>55+</v>
      </c>
      <c r="E114" s="8">
        <v>57</v>
      </c>
      <c r="F114" s="1" t="s">
        <v>14</v>
      </c>
      <c r="G114" s="4">
        <v>44761</v>
      </c>
      <c r="H114" s="1" t="s">
        <v>758</v>
      </c>
      <c r="I114" s="2" t="s">
        <v>447</v>
      </c>
      <c r="J114" t="s">
        <v>24</v>
      </c>
      <c r="K114" t="s">
        <v>761</v>
      </c>
    </row>
    <row r="115" spans="1:11" x14ac:dyDescent="0.35">
      <c r="A115" s="1" t="s">
        <v>448</v>
      </c>
      <c r="B115" s="1" t="s">
        <v>449</v>
      </c>
      <c r="C115" s="1" t="s">
        <v>450</v>
      </c>
      <c r="D115" s="9" t="str">
        <f t="shared" si="1"/>
        <v>45-54</v>
      </c>
      <c r="E115" s="8">
        <v>52</v>
      </c>
      <c r="F115" s="1" t="s">
        <v>22</v>
      </c>
      <c r="G115" s="4">
        <v>44770</v>
      </c>
      <c r="H115" s="1" t="s">
        <v>758</v>
      </c>
      <c r="I115" s="2" t="s">
        <v>451</v>
      </c>
      <c r="J115" t="s">
        <v>24</v>
      </c>
      <c r="K115" t="s">
        <v>761</v>
      </c>
    </row>
    <row r="116" spans="1:11" x14ac:dyDescent="0.35">
      <c r="A116" s="1" t="s">
        <v>452</v>
      </c>
      <c r="B116" s="1" t="s">
        <v>453</v>
      </c>
      <c r="C116" s="1" t="s">
        <v>454</v>
      </c>
      <c r="D116" s="9" t="str">
        <f t="shared" si="1"/>
        <v>35-44</v>
      </c>
      <c r="E116" s="8">
        <v>37</v>
      </c>
      <c r="F116" s="1" t="s">
        <v>14</v>
      </c>
      <c r="G116" s="4">
        <v>44770</v>
      </c>
      <c r="H116" s="1" t="s">
        <v>32</v>
      </c>
      <c r="I116" s="2" t="s">
        <v>455</v>
      </c>
      <c r="J116" t="s">
        <v>34</v>
      </c>
      <c r="K116" t="s">
        <v>760</v>
      </c>
    </row>
    <row r="117" spans="1:11" x14ac:dyDescent="0.35">
      <c r="A117" s="1" t="s">
        <v>456</v>
      </c>
      <c r="B117" s="1" t="s">
        <v>457</v>
      </c>
      <c r="C117" s="1" t="s">
        <v>458</v>
      </c>
      <c r="D117" s="9" t="str">
        <f t="shared" si="1"/>
        <v>25-34</v>
      </c>
      <c r="E117" s="8">
        <v>34</v>
      </c>
      <c r="F117" s="1" t="s">
        <v>22</v>
      </c>
      <c r="G117" s="4">
        <v>44776</v>
      </c>
      <c r="H117" s="1" t="s">
        <v>32</v>
      </c>
      <c r="I117" s="2">
        <v>510</v>
      </c>
      <c r="J117" t="s">
        <v>34</v>
      </c>
      <c r="K117" t="s">
        <v>760</v>
      </c>
    </row>
    <row r="118" spans="1:11" x14ac:dyDescent="0.35">
      <c r="A118" s="1" t="s">
        <v>459</v>
      </c>
      <c r="B118" s="1" t="s">
        <v>460</v>
      </c>
      <c r="C118" s="1" t="s">
        <v>461</v>
      </c>
      <c r="D118" s="9" t="str">
        <f t="shared" si="1"/>
        <v>25-34</v>
      </c>
      <c r="E118" s="8">
        <v>29</v>
      </c>
      <c r="F118" s="1" t="s">
        <v>14</v>
      </c>
      <c r="G118" s="4">
        <v>44776</v>
      </c>
      <c r="H118" s="1" t="s">
        <v>756</v>
      </c>
      <c r="I118" s="2" t="s">
        <v>462</v>
      </c>
      <c r="J118" t="s">
        <v>43</v>
      </c>
      <c r="K118" t="s">
        <v>762</v>
      </c>
    </row>
    <row r="119" spans="1:11" x14ac:dyDescent="0.35">
      <c r="A119" s="1" t="s">
        <v>463</v>
      </c>
      <c r="B119" s="1" t="s">
        <v>464</v>
      </c>
      <c r="C119" s="1" t="s">
        <v>465</v>
      </c>
      <c r="D119" s="9" t="str">
        <f t="shared" si="1"/>
        <v>25-34</v>
      </c>
      <c r="E119" s="8">
        <v>28</v>
      </c>
      <c r="F119" s="1" t="s">
        <v>22</v>
      </c>
      <c r="G119" s="4">
        <v>44777</v>
      </c>
      <c r="H119" s="1" t="s">
        <v>756</v>
      </c>
      <c r="I119" s="2">
        <v>2400</v>
      </c>
      <c r="J119" t="s">
        <v>43</v>
      </c>
      <c r="K119" t="s">
        <v>762</v>
      </c>
    </row>
    <row r="120" spans="1:11" x14ac:dyDescent="0.35">
      <c r="A120" s="1" t="s">
        <v>466</v>
      </c>
      <c r="B120" s="1" t="s">
        <v>467</v>
      </c>
      <c r="C120" s="1" t="s">
        <v>468</v>
      </c>
      <c r="D120" s="9" t="str">
        <f t="shared" si="1"/>
        <v>45-54</v>
      </c>
      <c r="E120" s="8">
        <v>53</v>
      </c>
      <c r="F120" s="1" t="s">
        <v>14</v>
      </c>
      <c r="G120" s="4">
        <v>44777</v>
      </c>
      <c r="H120" s="1" t="s">
        <v>757</v>
      </c>
      <c r="I120" s="2" t="s">
        <v>469</v>
      </c>
      <c r="J120" t="s">
        <v>55</v>
      </c>
      <c r="K120" t="s">
        <v>748</v>
      </c>
    </row>
    <row r="121" spans="1:11" x14ac:dyDescent="0.35">
      <c r="A121" s="1" t="s">
        <v>470</v>
      </c>
      <c r="B121" s="1" t="s">
        <v>471</v>
      </c>
      <c r="C121" s="1" t="s">
        <v>197</v>
      </c>
      <c r="D121" s="9" t="str">
        <f t="shared" si="1"/>
        <v>45-54</v>
      </c>
      <c r="E121" s="8">
        <v>50</v>
      </c>
      <c r="F121" s="1" t="s">
        <v>22</v>
      </c>
      <c r="G121" s="4">
        <v>44778</v>
      </c>
      <c r="H121" s="1" t="s">
        <v>757</v>
      </c>
      <c r="I121" s="2">
        <v>1520</v>
      </c>
      <c r="J121" t="s">
        <v>55</v>
      </c>
      <c r="K121" t="s">
        <v>748</v>
      </c>
    </row>
    <row r="122" spans="1:11" x14ac:dyDescent="0.35">
      <c r="A122" s="1" t="s">
        <v>472</v>
      </c>
      <c r="B122" s="1" t="s">
        <v>473</v>
      </c>
      <c r="C122" s="1" t="s">
        <v>474</v>
      </c>
      <c r="D122" s="9" t="str">
        <f t="shared" si="1"/>
        <v>35-44</v>
      </c>
      <c r="E122" s="8">
        <v>41</v>
      </c>
      <c r="F122" s="1" t="s">
        <v>14</v>
      </c>
      <c r="G122" s="4">
        <v>44778</v>
      </c>
      <c r="H122" s="1" t="s">
        <v>755</v>
      </c>
      <c r="I122" s="2">
        <v>1330</v>
      </c>
      <c r="J122" t="s">
        <v>15</v>
      </c>
      <c r="K122" t="s">
        <v>759</v>
      </c>
    </row>
    <row r="123" spans="1:11" x14ac:dyDescent="0.35">
      <c r="A123" s="1" t="s">
        <v>475</v>
      </c>
      <c r="B123" s="1" t="s">
        <v>476</v>
      </c>
      <c r="C123" s="1" t="s">
        <v>477</v>
      </c>
      <c r="D123" s="9" t="str">
        <f t="shared" si="1"/>
        <v>35-44</v>
      </c>
      <c r="E123" s="8">
        <v>38</v>
      </c>
      <c r="F123" s="1" t="s">
        <v>22</v>
      </c>
      <c r="G123" s="4">
        <v>44780</v>
      </c>
      <c r="H123" s="1" t="s">
        <v>755</v>
      </c>
      <c r="I123" s="2" t="s">
        <v>478</v>
      </c>
      <c r="J123" t="s">
        <v>15</v>
      </c>
      <c r="K123" t="s">
        <v>759</v>
      </c>
    </row>
    <row r="124" spans="1:11" x14ac:dyDescent="0.35">
      <c r="A124" s="1" t="s">
        <v>479</v>
      </c>
      <c r="B124" s="1" t="s">
        <v>480</v>
      </c>
      <c r="C124" s="1" t="s">
        <v>481</v>
      </c>
      <c r="D124" s="9" t="str">
        <f t="shared" si="1"/>
        <v>45-54</v>
      </c>
      <c r="E124" s="8">
        <v>46</v>
      </c>
      <c r="F124" s="1" t="s">
        <v>14</v>
      </c>
      <c r="G124" s="4">
        <v>44780</v>
      </c>
      <c r="H124" s="1" t="s">
        <v>758</v>
      </c>
      <c r="I124" s="2" t="s">
        <v>482</v>
      </c>
      <c r="J124" t="s">
        <v>24</v>
      </c>
      <c r="K124" t="s">
        <v>761</v>
      </c>
    </row>
    <row r="125" spans="1:11" x14ac:dyDescent="0.35">
      <c r="A125" s="1" t="s">
        <v>483</v>
      </c>
      <c r="B125" s="1" t="s">
        <v>484</v>
      </c>
      <c r="C125" s="1" t="s">
        <v>485</v>
      </c>
      <c r="D125" s="9" t="str">
        <f t="shared" si="1"/>
        <v>35-44</v>
      </c>
      <c r="E125" s="8">
        <v>35</v>
      </c>
      <c r="F125" s="1" t="s">
        <v>22</v>
      </c>
      <c r="G125" s="4">
        <v>44784</v>
      </c>
      <c r="H125" s="1" t="s">
        <v>758</v>
      </c>
      <c r="I125" s="2">
        <v>940</v>
      </c>
      <c r="J125" t="s">
        <v>24</v>
      </c>
      <c r="K125" t="s">
        <v>761</v>
      </c>
    </row>
    <row r="126" spans="1:11" x14ac:dyDescent="0.35">
      <c r="A126" s="1" t="s">
        <v>486</v>
      </c>
      <c r="B126" s="1" t="s">
        <v>487</v>
      </c>
      <c r="C126" s="1" t="s">
        <v>488</v>
      </c>
      <c r="D126" s="9" t="str">
        <f t="shared" si="1"/>
        <v>55+</v>
      </c>
      <c r="E126" s="8">
        <v>57</v>
      </c>
      <c r="F126" s="1" t="s">
        <v>14</v>
      </c>
      <c r="G126" s="4">
        <v>44784</v>
      </c>
      <c r="H126" s="1" t="s">
        <v>32</v>
      </c>
      <c r="I126" s="2" t="s">
        <v>489</v>
      </c>
      <c r="J126" t="s">
        <v>34</v>
      </c>
      <c r="K126" t="s">
        <v>760</v>
      </c>
    </row>
    <row r="127" spans="1:11" x14ac:dyDescent="0.35">
      <c r="A127" s="1" t="s">
        <v>490</v>
      </c>
      <c r="B127" s="1" t="s">
        <v>491</v>
      </c>
      <c r="C127" s="1" t="s">
        <v>492</v>
      </c>
      <c r="D127" s="9" t="str">
        <f t="shared" si="1"/>
        <v>55+</v>
      </c>
      <c r="E127" s="8">
        <v>55</v>
      </c>
      <c r="F127" s="1" t="s">
        <v>22</v>
      </c>
      <c r="G127" s="4">
        <v>44787</v>
      </c>
      <c r="H127" s="1" t="s">
        <v>32</v>
      </c>
      <c r="I127" s="2">
        <v>280</v>
      </c>
      <c r="J127" t="s">
        <v>34</v>
      </c>
      <c r="K127" t="s">
        <v>760</v>
      </c>
    </row>
    <row r="128" spans="1:11" x14ac:dyDescent="0.35">
      <c r="A128" s="1" t="s">
        <v>493</v>
      </c>
      <c r="B128" s="1" t="s">
        <v>494</v>
      </c>
      <c r="C128" s="1" t="s">
        <v>495</v>
      </c>
      <c r="D128" s="9" t="str">
        <f t="shared" si="1"/>
        <v>25-34</v>
      </c>
      <c r="E128" s="8">
        <v>33</v>
      </c>
      <c r="F128" s="1" t="s">
        <v>14</v>
      </c>
      <c r="G128" s="4">
        <v>44787</v>
      </c>
      <c r="H128" s="1" t="s">
        <v>756</v>
      </c>
      <c r="I128" s="2" t="s">
        <v>496</v>
      </c>
      <c r="J128" t="s">
        <v>43</v>
      </c>
      <c r="K128" t="s">
        <v>762</v>
      </c>
    </row>
    <row r="129" spans="1:11" x14ac:dyDescent="0.35">
      <c r="A129" s="1" t="s">
        <v>497</v>
      </c>
      <c r="B129" s="1" t="s">
        <v>498</v>
      </c>
      <c r="C129" s="1" t="s">
        <v>499</v>
      </c>
      <c r="D129" s="9" t="str">
        <f t="shared" si="1"/>
        <v>25-34</v>
      </c>
      <c r="E129" s="8">
        <v>31</v>
      </c>
      <c r="F129" s="1" t="s">
        <v>22</v>
      </c>
      <c r="G129" s="4">
        <v>44788</v>
      </c>
      <c r="H129" s="1" t="s">
        <v>756</v>
      </c>
      <c r="I129" s="2">
        <v>1940</v>
      </c>
      <c r="J129" t="s">
        <v>43</v>
      </c>
      <c r="K129" t="s">
        <v>762</v>
      </c>
    </row>
    <row r="130" spans="1:11" x14ac:dyDescent="0.35">
      <c r="A130" s="1" t="s">
        <v>500</v>
      </c>
      <c r="B130" s="1" t="s">
        <v>501</v>
      </c>
      <c r="C130" s="1" t="s">
        <v>502</v>
      </c>
      <c r="D130" s="9" t="str">
        <f t="shared" si="1"/>
        <v>45-54</v>
      </c>
      <c r="E130" s="8">
        <v>50</v>
      </c>
      <c r="F130" s="1" t="s">
        <v>22</v>
      </c>
      <c r="G130" s="4">
        <v>44792</v>
      </c>
      <c r="H130" s="1" t="s">
        <v>757</v>
      </c>
      <c r="I130" s="2" t="s">
        <v>216</v>
      </c>
      <c r="J130" t="s">
        <v>55</v>
      </c>
      <c r="K130" t="s">
        <v>748</v>
      </c>
    </row>
    <row r="131" spans="1:11" x14ac:dyDescent="0.35">
      <c r="A131" s="1" t="s">
        <v>503</v>
      </c>
      <c r="B131" s="1" t="s">
        <v>504</v>
      </c>
      <c r="C131" s="1" t="s">
        <v>505</v>
      </c>
      <c r="D131" s="9" t="str">
        <f t="shared" ref="D131:D194" si="2">VLOOKUP(E131,$L$2:$M$6,2,TRUE)</f>
        <v>45-54</v>
      </c>
      <c r="E131" s="8">
        <v>48</v>
      </c>
      <c r="F131" s="1" t="s">
        <v>14</v>
      </c>
      <c r="G131" s="4">
        <v>44792</v>
      </c>
      <c r="H131" s="1" t="s">
        <v>757</v>
      </c>
      <c r="I131" s="2" t="s">
        <v>749</v>
      </c>
      <c r="J131" t="s">
        <v>746</v>
      </c>
      <c r="K131" t="s">
        <v>760</v>
      </c>
    </row>
    <row r="132" spans="1:11" x14ac:dyDescent="0.35">
      <c r="A132" s="1" t="s">
        <v>506</v>
      </c>
      <c r="B132" s="1" t="s">
        <v>507</v>
      </c>
      <c r="C132" s="1" t="s">
        <v>508</v>
      </c>
      <c r="D132" s="9" t="str">
        <f t="shared" si="2"/>
        <v>35-44</v>
      </c>
      <c r="E132" s="8">
        <v>40</v>
      </c>
      <c r="F132" s="1" t="s">
        <v>14</v>
      </c>
      <c r="G132" s="4">
        <v>44800</v>
      </c>
      <c r="H132" s="1" t="s">
        <v>755</v>
      </c>
      <c r="I132" s="2" t="s">
        <v>509</v>
      </c>
      <c r="J132" t="s">
        <v>15</v>
      </c>
      <c r="K132" t="s">
        <v>759</v>
      </c>
    </row>
    <row r="133" spans="1:11" x14ac:dyDescent="0.35">
      <c r="A133" s="1" t="s">
        <v>510</v>
      </c>
      <c r="B133" s="1" t="s">
        <v>511</v>
      </c>
      <c r="C133" s="1" t="s">
        <v>512</v>
      </c>
      <c r="D133" s="9" t="str">
        <f t="shared" si="2"/>
        <v>35-44</v>
      </c>
      <c r="E133" s="8">
        <v>36</v>
      </c>
      <c r="F133" s="1" t="s">
        <v>22</v>
      </c>
      <c r="G133" s="4">
        <v>44800</v>
      </c>
      <c r="H133" s="1" t="s">
        <v>755</v>
      </c>
      <c r="I133" s="2">
        <v>860</v>
      </c>
      <c r="J133" t="s">
        <v>15</v>
      </c>
      <c r="K133" t="s">
        <v>759</v>
      </c>
    </row>
    <row r="134" spans="1:11" x14ac:dyDescent="0.35">
      <c r="A134" s="1" t="s">
        <v>513</v>
      </c>
      <c r="B134" s="1" t="s">
        <v>514</v>
      </c>
      <c r="C134" s="1" t="s">
        <v>515</v>
      </c>
      <c r="D134" s="9" t="str">
        <f t="shared" si="2"/>
        <v>55+</v>
      </c>
      <c r="E134" s="8">
        <v>58</v>
      </c>
      <c r="F134" s="1" t="s">
        <v>14</v>
      </c>
      <c r="G134" s="4">
        <v>44800</v>
      </c>
      <c r="H134" s="1" t="s">
        <v>758</v>
      </c>
      <c r="I134" s="2" t="s">
        <v>517</v>
      </c>
      <c r="J134" t="s">
        <v>24</v>
      </c>
      <c r="K134" t="s">
        <v>761</v>
      </c>
    </row>
    <row r="135" spans="1:11" x14ac:dyDescent="0.35">
      <c r="A135" s="1" t="s">
        <v>518</v>
      </c>
      <c r="B135" s="1" t="s">
        <v>519</v>
      </c>
      <c r="C135" s="1" t="s">
        <v>520</v>
      </c>
      <c r="D135" s="9" t="str">
        <f t="shared" si="2"/>
        <v>45-54</v>
      </c>
      <c r="E135" s="8">
        <v>53</v>
      </c>
      <c r="F135" s="1" t="s">
        <v>22</v>
      </c>
      <c r="G135" s="4">
        <v>44800</v>
      </c>
      <c r="H135" s="1" t="s">
        <v>758</v>
      </c>
      <c r="I135" s="2" t="s">
        <v>521</v>
      </c>
      <c r="J135" t="s">
        <v>24</v>
      </c>
      <c r="K135" t="s">
        <v>761</v>
      </c>
    </row>
    <row r="136" spans="1:11" x14ac:dyDescent="0.35">
      <c r="A136" s="1" t="s">
        <v>522</v>
      </c>
      <c r="B136" s="1" t="s">
        <v>523</v>
      </c>
      <c r="C136" s="1" t="s">
        <v>524</v>
      </c>
      <c r="D136" s="9" t="str">
        <f t="shared" si="2"/>
        <v>35-44</v>
      </c>
      <c r="E136" s="8">
        <v>38</v>
      </c>
      <c r="F136" s="1" t="s">
        <v>14</v>
      </c>
      <c r="G136" s="4">
        <v>44805</v>
      </c>
      <c r="H136" s="1" t="s">
        <v>32</v>
      </c>
      <c r="I136" s="2" t="s">
        <v>525</v>
      </c>
      <c r="J136" t="s">
        <v>34</v>
      </c>
      <c r="K136" t="s">
        <v>760</v>
      </c>
    </row>
    <row r="137" spans="1:11" x14ac:dyDescent="0.35">
      <c r="A137" s="1" t="s">
        <v>526</v>
      </c>
      <c r="B137" s="1" t="s">
        <v>527</v>
      </c>
      <c r="C137" s="1" t="s">
        <v>528</v>
      </c>
      <c r="D137" s="9" t="str">
        <f t="shared" si="2"/>
        <v>35-44</v>
      </c>
      <c r="E137" s="8">
        <v>35</v>
      </c>
      <c r="F137" s="1" t="s">
        <v>22</v>
      </c>
      <c r="G137" s="4">
        <v>44805</v>
      </c>
      <c r="H137" s="1" t="s">
        <v>32</v>
      </c>
      <c r="I137" s="2">
        <v>520</v>
      </c>
      <c r="J137" t="s">
        <v>34</v>
      </c>
      <c r="K137" t="s">
        <v>760</v>
      </c>
    </row>
    <row r="138" spans="1:11" x14ac:dyDescent="0.35">
      <c r="A138" s="1" t="s">
        <v>529</v>
      </c>
      <c r="B138" s="1" t="s">
        <v>530</v>
      </c>
      <c r="C138" s="1" t="s">
        <v>531</v>
      </c>
      <c r="D138" s="9" t="str">
        <f t="shared" si="2"/>
        <v>25-34</v>
      </c>
      <c r="E138" s="8">
        <v>30</v>
      </c>
      <c r="F138" s="1" t="s">
        <v>14</v>
      </c>
      <c r="G138" s="4">
        <v>44807</v>
      </c>
      <c r="H138" s="1" t="s">
        <v>756</v>
      </c>
      <c r="I138" s="2" t="s">
        <v>532</v>
      </c>
      <c r="J138" t="s">
        <v>43</v>
      </c>
      <c r="K138" t="s">
        <v>762</v>
      </c>
    </row>
    <row r="139" spans="1:11" x14ac:dyDescent="0.35">
      <c r="A139" s="1" t="s">
        <v>533</v>
      </c>
      <c r="B139" s="1" t="s">
        <v>534</v>
      </c>
      <c r="C139" s="1" t="s">
        <v>535</v>
      </c>
      <c r="D139" s="9" t="str">
        <f t="shared" si="2"/>
        <v>25-34</v>
      </c>
      <c r="E139" s="8">
        <v>29</v>
      </c>
      <c r="F139" s="1" t="s">
        <v>22</v>
      </c>
      <c r="G139" s="4">
        <v>44807</v>
      </c>
      <c r="H139" s="1" t="s">
        <v>756</v>
      </c>
      <c r="I139" s="2" t="s">
        <v>750</v>
      </c>
      <c r="J139" t="s">
        <v>746</v>
      </c>
      <c r="K139" t="s">
        <v>762</v>
      </c>
    </row>
    <row r="140" spans="1:11" x14ac:dyDescent="0.35">
      <c r="A140" s="1" t="s">
        <v>536</v>
      </c>
      <c r="B140" s="1" t="s">
        <v>537</v>
      </c>
      <c r="C140" s="1" t="s">
        <v>538</v>
      </c>
      <c r="D140" s="9" t="str">
        <f t="shared" si="2"/>
        <v>45-54</v>
      </c>
      <c r="E140" s="8">
        <v>54</v>
      </c>
      <c r="F140" s="1" t="s">
        <v>14</v>
      </c>
      <c r="G140" s="4">
        <v>44812</v>
      </c>
      <c r="H140" s="1" t="s">
        <v>757</v>
      </c>
      <c r="I140" s="2" t="s">
        <v>539</v>
      </c>
      <c r="J140" t="s">
        <v>55</v>
      </c>
      <c r="K140" t="s">
        <v>748</v>
      </c>
    </row>
    <row r="141" spans="1:11" x14ac:dyDescent="0.35">
      <c r="A141" s="1" t="s">
        <v>540</v>
      </c>
      <c r="B141" s="1" t="s">
        <v>541</v>
      </c>
      <c r="C141" s="1" t="s">
        <v>542</v>
      </c>
      <c r="D141" s="9" t="str">
        <f t="shared" si="2"/>
        <v>45-54</v>
      </c>
      <c r="E141" s="8">
        <v>51</v>
      </c>
      <c r="F141" s="1" t="s">
        <v>22</v>
      </c>
      <c r="G141" s="4">
        <v>44812</v>
      </c>
      <c r="H141" s="1" t="s">
        <v>757</v>
      </c>
      <c r="I141" s="2">
        <v>1540</v>
      </c>
      <c r="J141" t="s">
        <v>55</v>
      </c>
      <c r="K141" t="s">
        <v>748</v>
      </c>
    </row>
    <row r="142" spans="1:11" x14ac:dyDescent="0.35">
      <c r="A142" s="1" t="s">
        <v>543</v>
      </c>
      <c r="B142" s="1" t="s">
        <v>544</v>
      </c>
      <c r="C142" s="1" t="s">
        <v>545</v>
      </c>
      <c r="D142" s="9" t="str">
        <f t="shared" si="2"/>
        <v>35-44</v>
      </c>
      <c r="E142" s="8">
        <v>42</v>
      </c>
      <c r="F142" s="1" t="s">
        <v>14</v>
      </c>
      <c r="G142" s="4">
        <v>44816</v>
      </c>
      <c r="H142" s="1" t="s">
        <v>755</v>
      </c>
      <c r="I142" s="2">
        <v>1340</v>
      </c>
      <c r="J142" t="s">
        <v>15</v>
      </c>
      <c r="K142" t="s">
        <v>759</v>
      </c>
    </row>
    <row r="143" spans="1:11" x14ac:dyDescent="0.35">
      <c r="A143" s="1" t="s">
        <v>546</v>
      </c>
      <c r="B143" s="1" t="s">
        <v>547</v>
      </c>
      <c r="C143" s="1" t="s">
        <v>548</v>
      </c>
      <c r="D143" s="9" t="str">
        <f t="shared" si="2"/>
        <v>35-44</v>
      </c>
      <c r="E143" s="8">
        <v>39</v>
      </c>
      <c r="F143" s="1" t="s">
        <v>22</v>
      </c>
      <c r="G143" s="4">
        <v>44816</v>
      </c>
      <c r="H143" s="1" t="s">
        <v>755</v>
      </c>
      <c r="I143" s="2" t="s">
        <v>549</v>
      </c>
      <c r="J143" t="s">
        <v>15</v>
      </c>
      <c r="K143" t="s">
        <v>759</v>
      </c>
    </row>
    <row r="144" spans="1:11" x14ac:dyDescent="0.35">
      <c r="A144" s="1" t="s">
        <v>550</v>
      </c>
      <c r="B144" s="1" t="s">
        <v>551</v>
      </c>
      <c r="C144" s="1" t="s">
        <v>552</v>
      </c>
      <c r="D144" s="9" t="str">
        <f t="shared" si="2"/>
        <v>45-54</v>
      </c>
      <c r="E144" s="8">
        <v>47</v>
      </c>
      <c r="F144" s="1" t="s">
        <v>14</v>
      </c>
      <c r="G144" s="4">
        <v>44818</v>
      </c>
      <c r="H144" s="1" t="s">
        <v>758</v>
      </c>
      <c r="I144" s="2" t="s">
        <v>553</v>
      </c>
      <c r="J144" t="s">
        <v>24</v>
      </c>
      <c r="K144" t="s">
        <v>761</v>
      </c>
    </row>
    <row r="145" spans="1:11" x14ac:dyDescent="0.35">
      <c r="A145" s="1" t="s">
        <v>554</v>
      </c>
      <c r="B145" s="1" t="s">
        <v>555</v>
      </c>
      <c r="C145" s="1" t="s">
        <v>556</v>
      </c>
      <c r="D145" s="9" t="str">
        <f t="shared" si="2"/>
        <v>35-44</v>
      </c>
      <c r="E145" s="8">
        <v>36</v>
      </c>
      <c r="F145" s="1" t="s">
        <v>22</v>
      </c>
      <c r="G145" s="4">
        <v>44818</v>
      </c>
      <c r="H145" s="1" t="s">
        <v>758</v>
      </c>
      <c r="I145" s="2">
        <v>950</v>
      </c>
      <c r="J145" t="s">
        <v>24</v>
      </c>
      <c r="K145" t="s">
        <v>761</v>
      </c>
    </row>
    <row r="146" spans="1:11" x14ac:dyDescent="0.35">
      <c r="A146" s="1" t="s">
        <v>557</v>
      </c>
      <c r="B146" s="1" t="s">
        <v>558</v>
      </c>
      <c r="C146" s="1" t="s">
        <v>559</v>
      </c>
      <c r="D146" s="9" t="str">
        <f t="shared" si="2"/>
        <v>55+</v>
      </c>
      <c r="E146" s="8">
        <v>58</v>
      </c>
      <c r="F146" s="1" t="s">
        <v>14</v>
      </c>
      <c r="G146" s="4">
        <v>44820</v>
      </c>
      <c r="H146" s="1" t="s">
        <v>32</v>
      </c>
      <c r="I146" s="2" t="s">
        <v>560</v>
      </c>
      <c r="J146" t="s">
        <v>34</v>
      </c>
      <c r="K146" t="s">
        <v>760</v>
      </c>
    </row>
    <row r="147" spans="1:11" x14ac:dyDescent="0.35">
      <c r="A147" s="1" t="s">
        <v>561</v>
      </c>
      <c r="B147" s="1" t="s">
        <v>562</v>
      </c>
      <c r="C147" s="1" t="s">
        <v>563</v>
      </c>
      <c r="D147" s="9" t="str">
        <f t="shared" si="2"/>
        <v>55+</v>
      </c>
      <c r="E147" s="8">
        <v>56</v>
      </c>
      <c r="F147" s="1" t="s">
        <v>22</v>
      </c>
      <c r="G147" s="4">
        <v>44820</v>
      </c>
      <c r="H147" s="1" t="s">
        <v>32</v>
      </c>
      <c r="I147" s="2">
        <v>290</v>
      </c>
      <c r="J147" t="s">
        <v>34</v>
      </c>
      <c r="K147" t="s">
        <v>760</v>
      </c>
    </row>
    <row r="148" spans="1:11" x14ac:dyDescent="0.35">
      <c r="A148" s="1" t="s">
        <v>564</v>
      </c>
      <c r="B148" s="1" t="s">
        <v>565</v>
      </c>
      <c r="C148" s="1" t="s">
        <v>566</v>
      </c>
      <c r="D148" s="9" t="str">
        <f t="shared" si="2"/>
        <v>25-34</v>
      </c>
      <c r="E148" s="8">
        <v>34</v>
      </c>
      <c r="F148" s="1" t="s">
        <v>14</v>
      </c>
      <c r="G148" s="4">
        <v>44822</v>
      </c>
      <c r="H148" s="1" t="s">
        <v>756</v>
      </c>
      <c r="I148" s="2" t="s">
        <v>567</v>
      </c>
      <c r="J148" t="s">
        <v>43</v>
      </c>
      <c r="K148" t="s">
        <v>762</v>
      </c>
    </row>
    <row r="149" spans="1:11" x14ac:dyDescent="0.35">
      <c r="A149" s="1" t="s">
        <v>568</v>
      </c>
      <c r="B149" s="1" t="s">
        <v>569</v>
      </c>
      <c r="C149" s="1" t="s">
        <v>570</v>
      </c>
      <c r="D149" s="9" t="str">
        <f t="shared" si="2"/>
        <v>25-34</v>
      </c>
      <c r="E149" s="8">
        <v>32</v>
      </c>
      <c r="F149" s="1" t="s">
        <v>22</v>
      </c>
      <c r="G149" s="4">
        <v>44822</v>
      </c>
      <c r="H149" s="1" t="s">
        <v>756</v>
      </c>
      <c r="I149" s="2">
        <v>1960</v>
      </c>
      <c r="J149" t="s">
        <v>43</v>
      </c>
      <c r="K149" t="s">
        <v>762</v>
      </c>
    </row>
    <row r="150" spans="1:11" x14ac:dyDescent="0.35">
      <c r="A150" s="1" t="s">
        <v>571</v>
      </c>
      <c r="B150" s="1" t="s">
        <v>572</v>
      </c>
      <c r="C150" s="1" t="s">
        <v>573</v>
      </c>
      <c r="D150" s="9" t="str">
        <f t="shared" si="2"/>
        <v>45-54</v>
      </c>
      <c r="E150" s="8">
        <v>51</v>
      </c>
      <c r="F150" s="1" t="s">
        <v>22</v>
      </c>
      <c r="G150" s="4">
        <v>44825</v>
      </c>
      <c r="H150" s="1" t="s">
        <v>757</v>
      </c>
      <c r="I150" s="2" t="s">
        <v>574</v>
      </c>
      <c r="J150" t="s">
        <v>55</v>
      </c>
      <c r="K150" t="s">
        <v>748</v>
      </c>
    </row>
    <row r="151" spans="1:11" x14ac:dyDescent="0.35">
      <c r="A151" s="1" t="s">
        <v>575</v>
      </c>
      <c r="B151" s="1" t="s">
        <v>576</v>
      </c>
      <c r="C151" s="1" t="s">
        <v>577</v>
      </c>
      <c r="D151" s="9" t="str">
        <f t="shared" si="2"/>
        <v>45-54</v>
      </c>
      <c r="E151" s="8">
        <v>49</v>
      </c>
      <c r="F151" s="1" t="s">
        <v>14</v>
      </c>
      <c r="G151" s="4">
        <v>44825</v>
      </c>
      <c r="H151" s="1" t="s">
        <v>757</v>
      </c>
      <c r="I151" s="2" t="s">
        <v>751</v>
      </c>
      <c r="J151" t="s">
        <v>55</v>
      </c>
      <c r="K151" t="s">
        <v>748</v>
      </c>
    </row>
    <row r="152" spans="1:11" x14ac:dyDescent="0.35">
      <c r="A152" s="1" t="s">
        <v>578</v>
      </c>
      <c r="B152" s="1" t="s">
        <v>579</v>
      </c>
      <c r="C152" s="1" t="s">
        <v>580</v>
      </c>
      <c r="D152" s="9" t="str">
        <f t="shared" si="2"/>
        <v>35-44</v>
      </c>
      <c r="E152" s="8">
        <v>41</v>
      </c>
      <c r="F152" s="1" t="s">
        <v>14</v>
      </c>
      <c r="G152" s="4">
        <v>44831</v>
      </c>
      <c r="H152" s="1" t="s">
        <v>755</v>
      </c>
      <c r="I152" s="2" t="s">
        <v>581</v>
      </c>
      <c r="J152" t="s">
        <v>15</v>
      </c>
      <c r="K152" t="s">
        <v>759</v>
      </c>
    </row>
    <row r="153" spans="1:11" x14ac:dyDescent="0.35">
      <c r="A153" s="1" t="s">
        <v>582</v>
      </c>
      <c r="B153" s="1" t="s">
        <v>583</v>
      </c>
      <c r="C153" s="1" t="s">
        <v>584</v>
      </c>
      <c r="D153" s="9" t="str">
        <f t="shared" si="2"/>
        <v>35-44</v>
      </c>
      <c r="E153" s="8">
        <v>37</v>
      </c>
      <c r="F153" s="1" t="s">
        <v>22</v>
      </c>
      <c r="G153" s="4">
        <v>44831</v>
      </c>
      <c r="H153" s="1" t="s">
        <v>755</v>
      </c>
      <c r="I153" s="2">
        <v>870</v>
      </c>
      <c r="J153" t="s">
        <v>15</v>
      </c>
      <c r="K153" t="s">
        <v>759</v>
      </c>
    </row>
    <row r="154" spans="1:11" x14ac:dyDescent="0.35">
      <c r="A154" s="1" t="s">
        <v>585</v>
      </c>
      <c r="B154" s="1" t="s">
        <v>586</v>
      </c>
      <c r="C154" s="1" t="s">
        <v>587</v>
      </c>
      <c r="D154" s="9" t="str">
        <f t="shared" si="2"/>
        <v>55+</v>
      </c>
      <c r="E154" s="8">
        <v>59</v>
      </c>
      <c r="F154" s="1" t="s">
        <v>14</v>
      </c>
      <c r="G154" s="4">
        <v>44834</v>
      </c>
      <c r="H154" s="1" t="s">
        <v>758</v>
      </c>
      <c r="I154" s="2" t="s">
        <v>589</v>
      </c>
      <c r="J154" t="s">
        <v>24</v>
      </c>
      <c r="K154" t="s">
        <v>761</v>
      </c>
    </row>
    <row r="155" spans="1:11" x14ac:dyDescent="0.35">
      <c r="A155" s="1" t="s">
        <v>590</v>
      </c>
      <c r="B155" s="1" t="s">
        <v>591</v>
      </c>
      <c r="C155" s="1" t="s">
        <v>592</v>
      </c>
      <c r="D155" s="9" t="str">
        <f t="shared" si="2"/>
        <v>45-54</v>
      </c>
      <c r="E155" s="8">
        <v>54</v>
      </c>
      <c r="F155" s="1" t="s">
        <v>22</v>
      </c>
      <c r="G155" s="4">
        <v>44835</v>
      </c>
      <c r="H155" s="1" t="s">
        <v>758</v>
      </c>
      <c r="I155" s="2" t="s">
        <v>593</v>
      </c>
      <c r="J155" t="s">
        <v>24</v>
      </c>
      <c r="K155" t="s">
        <v>761</v>
      </c>
    </row>
    <row r="156" spans="1:11" x14ac:dyDescent="0.35">
      <c r="A156" s="1" t="s">
        <v>594</v>
      </c>
      <c r="B156" s="1" t="s">
        <v>595</v>
      </c>
      <c r="C156" s="1" t="s">
        <v>596</v>
      </c>
      <c r="D156" s="9" t="str">
        <f t="shared" si="2"/>
        <v>35-44</v>
      </c>
      <c r="E156" s="8">
        <v>39</v>
      </c>
      <c r="F156" s="1" t="s">
        <v>14</v>
      </c>
      <c r="G156" s="4">
        <v>44835</v>
      </c>
      <c r="H156" s="1" t="s">
        <v>32</v>
      </c>
      <c r="I156" s="2" t="s">
        <v>597</v>
      </c>
      <c r="J156" t="s">
        <v>34</v>
      </c>
      <c r="K156" t="s">
        <v>760</v>
      </c>
    </row>
    <row r="157" spans="1:11" x14ac:dyDescent="0.35">
      <c r="A157" s="1" t="s">
        <v>598</v>
      </c>
      <c r="B157" s="1" t="s">
        <v>599</v>
      </c>
      <c r="C157" s="1" t="s">
        <v>600</v>
      </c>
      <c r="D157" s="9" t="str">
        <f t="shared" si="2"/>
        <v>35-44</v>
      </c>
      <c r="E157" s="8">
        <v>36</v>
      </c>
      <c r="F157" s="1" t="s">
        <v>22</v>
      </c>
      <c r="G157" s="4">
        <v>44837</v>
      </c>
      <c r="H157" s="1" t="s">
        <v>32</v>
      </c>
      <c r="I157" s="2">
        <v>530</v>
      </c>
      <c r="J157" t="s">
        <v>34</v>
      </c>
      <c r="K157" t="s">
        <v>760</v>
      </c>
    </row>
    <row r="158" spans="1:11" x14ac:dyDescent="0.35">
      <c r="A158" s="1" t="s">
        <v>601</v>
      </c>
      <c r="B158" s="1" t="s">
        <v>602</v>
      </c>
      <c r="C158" s="1" t="s">
        <v>603</v>
      </c>
      <c r="D158" s="9" t="str">
        <f t="shared" si="2"/>
        <v>25-34</v>
      </c>
      <c r="E158" s="8">
        <v>31</v>
      </c>
      <c r="F158" s="1" t="s">
        <v>14</v>
      </c>
      <c r="G158" s="4">
        <v>44837</v>
      </c>
      <c r="H158" s="1" t="s">
        <v>756</v>
      </c>
      <c r="I158" s="2" t="s">
        <v>604</v>
      </c>
      <c r="J158" t="s">
        <v>43</v>
      </c>
      <c r="K158" t="s">
        <v>762</v>
      </c>
    </row>
    <row r="159" spans="1:11" x14ac:dyDescent="0.35">
      <c r="A159" s="1" t="s">
        <v>605</v>
      </c>
      <c r="B159" s="1" t="s">
        <v>606</v>
      </c>
      <c r="C159" s="1" t="s">
        <v>607</v>
      </c>
      <c r="D159" s="9" t="str">
        <f t="shared" si="2"/>
        <v>25-34</v>
      </c>
      <c r="E159" s="8">
        <v>30</v>
      </c>
      <c r="F159" s="1" t="s">
        <v>22</v>
      </c>
      <c r="G159" s="4">
        <v>44839</v>
      </c>
      <c r="H159" s="1" t="s">
        <v>756</v>
      </c>
      <c r="I159" s="2">
        <v>2500</v>
      </c>
      <c r="J159" t="s">
        <v>43</v>
      </c>
      <c r="K159" t="s">
        <v>762</v>
      </c>
    </row>
    <row r="160" spans="1:11" x14ac:dyDescent="0.35">
      <c r="A160" s="1" t="s">
        <v>608</v>
      </c>
      <c r="B160" s="1" t="s">
        <v>609</v>
      </c>
      <c r="C160" s="1" t="s">
        <v>610</v>
      </c>
      <c r="D160" s="9" t="str">
        <f t="shared" si="2"/>
        <v>55+</v>
      </c>
      <c r="E160" s="8">
        <v>55</v>
      </c>
      <c r="F160" s="1" t="s">
        <v>14</v>
      </c>
      <c r="G160" s="4">
        <v>44839</v>
      </c>
      <c r="H160" s="1" t="s">
        <v>757</v>
      </c>
      <c r="I160" s="2" t="s">
        <v>611</v>
      </c>
      <c r="J160" t="s">
        <v>55</v>
      </c>
      <c r="K160" t="s">
        <v>748</v>
      </c>
    </row>
    <row r="161" spans="1:11" x14ac:dyDescent="0.35">
      <c r="A161" s="1" t="s">
        <v>612</v>
      </c>
      <c r="B161" s="1" t="s">
        <v>613</v>
      </c>
      <c r="C161" s="1" t="s">
        <v>614</v>
      </c>
      <c r="D161" s="9" t="str">
        <f t="shared" si="2"/>
        <v>45-54</v>
      </c>
      <c r="E161" s="8">
        <v>52</v>
      </c>
      <c r="F161" s="1" t="s">
        <v>22</v>
      </c>
      <c r="G161" s="4">
        <v>44842</v>
      </c>
      <c r="H161" s="1" t="s">
        <v>757</v>
      </c>
      <c r="I161" s="2">
        <v>1560</v>
      </c>
      <c r="J161" t="s">
        <v>55</v>
      </c>
      <c r="K161" t="s">
        <v>748</v>
      </c>
    </row>
    <row r="162" spans="1:11" x14ac:dyDescent="0.35">
      <c r="A162" s="1" t="s">
        <v>615</v>
      </c>
      <c r="B162" s="1" t="s">
        <v>616</v>
      </c>
      <c r="C162" s="1" t="s">
        <v>617</v>
      </c>
      <c r="D162" s="9" t="str">
        <f t="shared" si="2"/>
        <v>35-44</v>
      </c>
      <c r="E162" s="8">
        <v>43</v>
      </c>
      <c r="F162" s="1" t="s">
        <v>14</v>
      </c>
      <c r="G162" s="4">
        <v>44842</v>
      </c>
      <c r="H162" s="1" t="s">
        <v>755</v>
      </c>
      <c r="I162" s="2">
        <v>1350</v>
      </c>
      <c r="J162" t="s">
        <v>15</v>
      </c>
      <c r="K162" t="s">
        <v>759</v>
      </c>
    </row>
    <row r="163" spans="1:11" x14ac:dyDescent="0.35">
      <c r="A163" s="1" t="s">
        <v>618</v>
      </c>
      <c r="B163" s="1" t="s">
        <v>619</v>
      </c>
      <c r="C163" s="1" t="s">
        <v>620</v>
      </c>
      <c r="D163" s="9" t="str">
        <f t="shared" si="2"/>
        <v>35-44</v>
      </c>
      <c r="E163" s="8">
        <v>40</v>
      </c>
      <c r="F163" s="1" t="s">
        <v>22</v>
      </c>
      <c r="G163" s="4">
        <v>44846</v>
      </c>
      <c r="H163" s="1" t="s">
        <v>755</v>
      </c>
      <c r="I163" s="2" t="s">
        <v>621</v>
      </c>
      <c r="J163" t="s">
        <v>15</v>
      </c>
      <c r="K163" t="s">
        <v>759</v>
      </c>
    </row>
    <row r="164" spans="1:11" x14ac:dyDescent="0.35">
      <c r="A164" s="1" t="s">
        <v>622</v>
      </c>
      <c r="B164" s="1" t="s">
        <v>623</v>
      </c>
      <c r="C164" s="1" t="s">
        <v>624</v>
      </c>
      <c r="D164" s="9" t="str">
        <f t="shared" si="2"/>
        <v>45-54</v>
      </c>
      <c r="E164" s="8">
        <v>48</v>
      </c>
      <c r="F164" s="1" t="s">
        <v>14</v>
      </c>
      <c r="G164" s="4">
        <v>44846</v>
      </c>
      <c r="H164" s="1" t="s">
        <v>758</v>
      </c>
      <c r="I164" s="2" t="s">
        <v>625</v>
      </c>
      <c r="J164" t="s">
        <v>24</v>
      </c>
      <c r="K164" t="s">
        <v>761</v>
      </c>
    </row>
    <row r="165" spans="1:11" x14ac:dyDescent="0.35">
      <c r="A165" s="1" t="s">
        <v>626</v>
      </c>
      <c r="B165" s="1" t="s">
        <v>627</v>
      </c>
      <c r="C165" s="1" t="s">
        <v>628</v>
      </c>
      <c r="D165" s="9" t="str">
        <f t="shared" si="2"/>
        <v>35-44</v>
      </c>
      <c r="E165" s="8">
        <v>37</v>
      </c>
      <c r="F165" s="1" t="s">
        <v>22</v>
      </c>
      <c r="G165" s="4">
        <v>44848</v>
      </c>
      <c r="H165" s="1" t="s">
        <v>758</v>
      </c>
      <c r="I165" s="2">
        <v>960</v>
      </c>
      <c r="J165" t="s">
        <v>24</v>
      </c>
      <c r="K165" t="s">
        <v>761</v>
      </c>
    </row>
    <row r="166" spans="1:11" x14ac:dyDescent="0.35">
      <c r="A166" s="1" t="s">
        <v>629</v>
      </c>
      <c r="B166" s="1" t="s">
        <v>630</v>
      </c>
      <c r="C166" s="1" t="s">
        <v>631</v>
      </c>
      <c r="D166" s="9" t="str">
        <f t="shared" si="2"/>
        <v>55+</v>
      </c>
      <c r="E166" s="8">
        <v>59</v>
      </c>
      <c r="F166" s="1" t="s">
        <v>14</v>
      </c>
      <c r="G166" s="4">
        <v>44848</v>
      </c>
      <c r="H166" s="1" t="s">
        <v>32</v>
      </c>
      <c r="I166" s="2" t="s">
        <v>33</v>
      </c>
      <c r="J166" t="s">
        <v>34</v>
      </c>
      <c r="K166" t="s">
        <v>760</v>
      </c>
    </row>
    <row r="167" spans="1:11" x14ac:dyDescent="0.35">
      <c r="A167" s="1" t="s">
        <v>632</v>
      </c>
      <c r="B167" s="1" t="s">
        <v>633</v>
      </c>
      <c r="C167" s="1" t="s">
        <v>634</v>
      </c>
      <c r="D167" s="9" t="str">
        <f t="shared" si="2"/>
        <v>55+</v>
      </c>
      <c r="E167" s="8">
        <v>57</v>
      </c>
      <c r="F167" s="1" t="s">
        <v>22</v>
      </c>
      <c r="G167" s="4">
        <v>44852</v>
      </c>
      <c r="H167" s="1" t="s">
        <v>32</v>
      </c>
      <c r="I167" s="2">
        <v>300</v>
      </c>
      <c r="J167" t="s">
        <v>34</v>
      </c>
      <c r="K167" t="s">
        <v>760</v>
      </c>
    </row>
    <row r="168" spans="1:11" x14ac:dyDescent="0.35">
      <c r="A168" s="1" t="s">
        <v>635</v>
      </c>
      <c r="B168" s="1" t="s">
        <v>636</v>
      </c>
      <c r="C168" s="1" t="s">
        <v>637</v>
      </c>
      <c r="D168" s="9" t="str">
        <f t="shared" si="2"/>
        <v>35-44</v>
      </c>
      <c r="E168" s="8">
        <v>35</v>
      </c>
      <c r="F168" s="1" t="s">
        <v>14</v>
      </c>
      <c r="G168" s="4">
        <v>44852</v>
      </c>
      <c r="H168" s="1" t="s">
        <v>756</v>
      </c>
      <c r="I168" s="2" t="s">
        <v>638</v>
      </c>
      <c r="J168" t="s">
        <v>43</v>
      </c>
      <c r="K168" t="s">
        <v>762</v>
      </c>
    </row>
    <row r="169" spans="1:11" x14ac:dyDescent="0.35">
      <c r="A169" s="1" t="s">
        <v>639</v>
      </c>
      <c r="B169" s="1" t="s">
        <v>640</v>
      </c>
      <c r="C169" s="1" t="s">
        <v>641</v>
      </c>
      <c r="D169" s="9" t="str">
        <f t="shared" si="2"/>
        <v>25-34</v>
      </c>
      <c r="E169" s="8">
        <v>33</v>
      </c>
      <c r="F169" s="1" t="s">
        <v>22</v>
      </c>
      <c r="G169" s="4">
        <v>44855</v>
      </c>
      <c r="H169" s="1" t="s">
        <v>756</v>
      </c>
      <c r="I169" s="2">
        <v>1980</v>
      </c>
      <c r="J169" t="s">
        <v>43</v>
      </c>
      <c r="K169" t="s">
        <v>762</v>
      </c>
    </row>
    <row r="170" spans="1:11" x14ac:dyDescent="0.35">
      <c r="A170" s="1" t="s">
        <v>642</v>
      </c>
      <c r="B170" s="1" t="s">
        <v>643</v>
      </c>
      <c r="C170" s="1" t="s">
        <v>644</v>
      </c>
      <c r="D170" s="9" t="str">
        <f t="shared" si="2"/>
        <v>45-54</v>
      </c>
      <c r="E170" s="8">
        <v>52</v>
      </c>
      <c r="F170" s="1" t="s">
        <v>22</v>
      </c>
      <c r="G170" s="4">
        <v>44855</v>
      </c>
      <c r="H170" s="1" t="s">
        <v>757</v>
      </c>
      <c r="I170" s="2" t="s">
        <v>645</v>
      </c>
      <c r="J170" t="s">
        <v>55</v>
      </c>
      <c r="K170" t="s">
        <v>748</v>
      </c>
    </row>
    <row r="171" spans="1:11" x14ac:dyDescent="0.35">
      <c r="A171" s="1" t="s">
        <v>646</v>
      </c>
      <c r="B171" s="1" t="s">
        <v>647</v>
      </c>
      <c r="C171" s="1" t="s">
        <v>648</v>
      </c>
      <c r="D171" s="9" t="str">
        <f t="shared" si="2"/>
        <v>45-54</v>
      </c>
      <c r="E171" s="8">
        <v>50</v>
      </c>
      <c r="F171" s="1" t="s">
        <v>14</v>
      </c>
      <c r="G171" s="4">
        <v>44863</v>
      </c>
      <c r="H171" s="1" t="s">
        <v>757</v>
      </c>
      <c r="I171" s="2">
        <v>1720</v>
      </c>
      <c r="J171" t="s">
        <v>55</v>
      </c>
      <c r="K171" t="s">
        <v>748</v>
      </c>
    </row>
    <row r="172" spans="1:11" x14ac:dyDescent="0.35">
      <c r="A172" s="1" t="s">
        <v>649</v>
      </c>
      <c r="B172" s="1" t="s">
        <v>650</v>
      </c>
      <c r="C172" s="1" t="s">
        <v>651</v>
      </c>
      <c r="D172" s="9" t="str">
        <f t="shared" si="2"/>
        <v>35-44</v>
      </c>
      <c r="E172" s="8">
        <v>42</v>
      </c>
      <c r="F172" s="1" t="s">
        <v>14</v>
      </c>
      <c r="G172" s="4">
        <v>44863</v>
      </c>
      <c r="H172" s="1" t="s">
        <v>755</v>
      </c>
      <c r="I172" s="2" t="s">
        <v>194</v>
      </c>
      <c r="J172" t="s">
        <v>15</v>
      </c>
      <c r="K172" t="s">
        <v>759</v>
      </c>
    </row>
    <row r="173" spans="1:11" x14ac:dyDescent="0.35">
      <c r="A173" s="1" t="s">
        <v>652</v>
      </c>
      <c r="B173" s="1" t="s">
        <v>653</v>
      </c>
      <c r="C173" s="1" t="s">
        <v>654</v>
      </c>
      <c r="D173" s="9" t="str">
        <f t="shared" si="2"/>
        <v>35-44</v>
      </c>
      <c r="E173" s="8">
        <v>38</v>
      </c>
      <c r="F173" s="1" t="s">
        <v>22</v>
      </c>
      <c r="G173" s="4">
        <v>44868</v>
      </c>
      <c r="H173" s="1" t="s">
        <v>755</v>
      </c>
      <c r="I173" s="2">
        <v>880</v>
      </c>
      <c r="J173" t="s">
        <v>15</v>
      </c>
      <c r="K173" t="s">
        <v>759</v>
      </c>
    </row>
    <row r="174" spans="1:11" x14ac:dyDescent="0.35">
      <c r="A174" s="1" t="s">
        <v>655</v>
      </c>
      <c r="B174" s="1" t="s">
        <v>656</v>
      </c>
      <c r="C174" s="1" t="s">
        <v>657</v>
      </c>
      <c r="D174" s="9" t="str">
        <f t="shared" si="2"/>
        <v>55+</v>
      </c>
      <c r="E174" s="8">
        <v>60</v>
      </c>
      <c r="F174" s="1" t="s">
        <v>14</v>
      </c>
      <c r="G174" s="4">
        <v>44868</v>
      </c>
      <c r="H174" s="1" t="s">
        <v>758</v>
      </c>
      <c r="I174" s="2" t="s">
        <v>224</v>
      </c>
      <c r="J174" t="s">
        <v>24</v>
      </c>
      <c r="K174" t="s">
        <v>761</v>
      </c>
    </row>
    <row r="175" spans="1:11" x14ac:dyDescent="0.35">
      <c r="A175" s="1" t="s">
        <v>659</v>
      </c>
      <c r="B175" s="1" t="s">
        <v>660</v>
      </c>
      <c r="C175" s="1" t="s">
        <v>661</v>
      </c>
      <c r="D175" s="9" t="str">
        <f t="shared" si="2"/>
        <v>55+</v>
      </c>
      <c r="E175" s="8">
        <v>55</v>
      </c>
      <c r="F175" s="1" t="s">
        <v>22</v>
      </c>
      <c r="G175" s="4">
        <v>44870</v>
      </c>
      <c r="H175" s="1" t="s">
        <v>758</v>
      </c>
      <c r="I175" s="2" t="s">
        <v>662</v>
      </c>
      <c r="J175" t="s">
        <v>24</v>
      </c>
      <c r="K175" t="s">
        <v>761</v>
      </c>
    </row>
    <row r="176" spans="1:11" x14ac:dyDescent="0.35">
      <c r="A176" s="1" t="s">
        <v>663</v>
      </c>
      <c r="B176" s="1" t="s">
        <v>664</v>
      </c>
      <c r="C176" s="1" t="s">
        <v>665</v>
      </c>
      <c r="D176" s="9" t="str">
        <f t="shared" si="2"/>
        <v>35-44</v>
      </c>
      <c r="E176" s="8">
        <v>40</v>
      </c>
      <c r="F176" s="1" t="s">
        <v>14</v>
      </c>
      <c r="G176" s="4">
        <v>44873</v>
      </c>
      <c r="H176" s="1" t="s">
        <v>32</v>
      </c>
      <c r="I176" s="2" t="s">
        <v>666</v>
      </c>
      <c r="J176" t="s">
        <v>34</v>
      </c>
      <c r="K176" t="s">
        <v>760</v>
      </c>
    </row>
    <row r="177" spans="1:11" x14ac:dyDescent="0.35">
      <c r="A177" s="1" t="s">
        <v>667</v>
      </c>
      <c r="B177" s="1" t="s">
        <v>668</v>
      </c>
      <c r="C177" s="1" t="s">
        <v>318</v>
      </c>
      <c r="D177" s="9" t="str">
        <f t="shared" si="2"/>
        <v>35-44</v>
      </c>
      <c r="E177" s="8">
        <v>37</v>
      </c>
      <c r="F177" s="1" t="s">
        <v>22</v>
      </c>
      <c r="G177" s="4">
        <v>44873</v>
      </c>
      <c r="H177" s="1" t="s">
        <v>32</v>
      </c>
      <c r="I177" s="2">
        <v>540</v>
      </c>
      <c r="J177" t="s">
        <v>34</v>
      </c>
      <c r="K177" t="s">
        <v>760</v>
      </c>
    </row>
    <row r="178" spans="1:11" x14ac:dyDescent="0.35">
      <c r="A178" s="1" t="s">
        <v>669</v>
      </c>
      <c r="B178" s="1" t="s">
        <v>670</v>
      </c>
      <c r="C178" s="1" t="s">
        <v>671</v>
      </c>
      <c r="D178" s="9" t="str">
        <f t="shared" si="2"/>
        <v>25-34</v>
      </c>
      <c r="E178" s="8">
        <v>32</v>
      </c>
      <c r="F178" s="1" t="s">
        <v>14</v>
      </c>
      <c r="G178" s="4">
        <v>44879</v>
      </c>
      <c r="H178" s="1" t="s">
        <v>756</v>
      </c>
      <c r="I178" s="2" t="s">
        <v>672</v>
      </c>
      <c r="J178" t="s">
        <v>43</v>
      </c>
      <c r="K178" t="s">
        <v>762</v>
      </c>
    </row>
    <row r="179" spans="1:11" x14ac:dyDescent="0.35">
      <c r="A179" s="1" t="s">
        <v>673</v>
      </c>
      <c r="B179" s="1" t="s">
        <v>674</v>
      </c>
      <c r="C179" s="1" t="s">
        <v>675</v>
      </c>
      <c r="D179" s="9" t="str">
        <f t="shared" si="2"/>
        <v>25-34</v>
      </c>
      <c r="E179" s="8">
        <v>31</v>
      </c>
      <c r="F179" s="1" t="s">
        <v>22</v>
      </c>
      <c r="G179" s="4">
        <v>44879</v>
      </c>
      <c r="H179" s="1" t="s">
        <v>756</v>
      </c>
      <c r="I179" s="2">
        <v>2550</v>
      </c>
      <c r="J179" t="s">
        <v>43</v>
      </c>
      <c r="K179" t="s">
        <v>762</v>
      </c>
    </row>
    <row r="180" spans="1:11" x14ac:dyDescent="0.35">
      <c r="A180" s="1" t="s">
        <v>676</v>
      </c>
      <c r="B180" s="1" t="s">
        <v>677</v>
      </c>
      <c r="C180" s="1" t="s">
        <v>678</v>
      </c>
      <c r="D180" s="9" t="str">
        <f t="shared" si="2"/>
        <v>55+</v>
      </c>
      <c r="E180" s="8">
        <v>56</v>
      </c>
      <c r="F180" s="1" t="s">
        <v>14</v>
      </c>
      <c r="G180" s="4">
        <v>44882</v>
      </c>
      <c r="H180" s="1" t="s">
        <v>757</v>
      </c>
      <c r="I180" s="2" t="s">
        <v>679</v>
      </c>
      <c r="J180" t="s">
        <v>55</v>
      </c>
      <c r="K180" t="s">
        <v>748</v>
      </c>
    </row>
    <row r="181" spans="1:11" x14ac:dyDescent="0.35">
      <c r="A181" s="1" t="s">
        <v>680</v>
      </c>
      <c r="B181" s="1" t="s">
        <v>681</v>
      </c>
      <c r="C181" s="1" t="s">
        <v>682</v>
      </c>
      <c r="D181" s="9" t="str">
        <f t="shared" si="2"/>
        <v>45-54</v>
      </c>
      <c r="E181" s="8">
        <v>53</v>
      </c>
      <c r="F181" s="1" t="s">
        <v>22</v>
      </c>
      <c r="G181" s="4">
        <v>44882</v>
      </c>
      <c r="H181" s="1" t="s">
        <v>757</v>
      </c>
      <c r="I181" s="2" t="s">
        <v>752</v>
      </c>
      <c r="J181" t="s">
        <v>15</v>
      </c>
      <c r="K181" t="s">
        <v>748</v>
      </c>
    </row>
    <row r="182" spans="1:11" x14ac:dyDescent="0.35">
      <c r="A182" s="1" t="s">
        <v>683</v>
      </c>
      <c r="B182" s="1" t="s">
        <v>684</v>
      </c>
      <c r="C182" s="1" t="s">
        <v>685</v>
      </c>
      <c r="D182" s="9" t="str">
        <f t="shared" si="2"/>
        <v>35-44</v>
      </c>
      <c r="E182" s="8">
        <v>44</v>
      </c>
      <c r="F182" s="1" t="s">
        <v>14</v>
      </c>
      <c r="G182" s="4">
        <v>44884</v>
      </c>
      <c r="H182" s="1" t="s">
        <v>755</v>
      </c>
      <c r="I182" s="2">
        <v>1360</v>
      </c>
      <c r="J182" t="s">
        <v>15</v>
      </c>
      <c r="K182" t="s">
        <v>759</v>
      </c>
    </row>
    <row r="183" spans="1:11" x14ac:dyDescent="0.35">
      <c r="A183" s="1" t="s">
        <v>686</v>
      </c>
      <c r="B183" s="1" t="s">
        <v>687</v>
      </c>
      <c r="C183" s="1" t="s">
        <v>620</v>
      </c>
      <c r="D183" s="9" t="str">
        <f t="shared" si="2"/>
        <v>35-44</v>
      </c>
      <c r="E183" s="8">
        <v>41</v>
      </c>
      <c r="F183" s="1" t="s">
        <v>22</v>
      </c>
      <c r="G183" s="4">
        <v>44884</v>
      </c>
      <c r="H183" s="1" t="s">
        <v>755</v>
      </c>
      <c r="I183" s="2" t="s">
        <v>688</v>
      </c>
      <c r="J183" t="s">
        <v>15</v>
      </c>
      <c r="K183" t="s">
        <v>759</v>
      </c>
    </row>
    <row r="184" spans="1:11" x14ac:dyDescent="0.35">
      <c r="A184" s="1" t="s">
        <v>689</v>
      </c>
      <c r="B184" s="1" t="s">
        <v>690</v>
      </c>
      <c r="C184" s="1" t="s">
        <v>691</v>
      </c>
      <c r="D184" s="9" t="str">
        <f t="shared" si="2"/>
        <v>45-54</v>
      </c>
      <c r="E184" s="8">
        <v>49</v>
      </c>
      <c r="F184" s="1" t="s">
        <v>14</v>
      </c>
      <c r="G184" s="4">
        <v>44887</v>
      </c>
      <c r="H184" s="1" t="s">
        <v>758</v>
      </c>
      <c r="I184" s="2" t="s">
        <v>692</v>
      </c>
      <c r="J184" t="s">
        <v>24</v>
      </c>
      <c r="K184" t="s">
        <v>761</v>
      </c>
    </row>
    <row r="185" spans="1:11" x14ac:dyDescent="0.35">
      <c r="A185" s="1" t="s">
        <v>693</v>
      </c>
      <c r="B185" s="1" t="s">
        <v>694</v>
      </c>
      <c r="C185" s="1" t="s">
        <v>695</v>
      </c>
      <c r="D185" s="9" t="str">
        <f t="shared" si="2"/>
        <v>35-44</v>
      </c>
      <c r="E185" s="8">
        <v>38</v>
      </c>
      <c r="F185" s="1" t="s">
        <v>22</v>
      </c>
      <c r="G185" s="4">
        <v>44887</v>
      </c>
      <c r="H185" s="1" t="s">
        <v>758</v>
      </c>
      <c r="I185" s="2">
        <v>970</v>
      </c>
      <c r="J185" t="s">
        <v>24</v>
      </c>
      <c r="K185" t="s">
        <v>761</v>
      </c>
    </row>
    <row r="186" spans="1:11" x14ac:dyDescent="0.35">
      <c r="A186" s="1" t="s">
        <v>696</v>
      </c>
      <c r="B186" s="1" t="s">
        <v>697</v>
      </c>
      <c r="C186" s="1" t="s">
        <v>698</v>
      </c>
      <c r="D186" s="9" t="str">
        <f t="shared" si="2"/>
        <v>55+</v>
      </c>
      <c r="E186" s="8">
        <v>60</v>
      </c>
      <c r="F186" s="1" t="s">
        <v>14</v>
      </c>
      <c r="G186" s="4">
        <v>44890</v>
      </c>
      <c r="H186" s="1" t="s">
        <v>32</v>
      </c>
      <c r="I186" s="2" t="s">
        <v>699</v>
      </c>
      <c r="J186" t="s">
        <v>34</v>
      </c>
      <c r="K186" t="s">
        <v>760</v>
      </c>
    </row>
    <row r="187" spans="1:11" x14ac:dyDescent="0.35">
      <c r="A187" s="1" t="s">
        <v>700</v>
      </c>
      <c r="B187" s="1" t="s">
        <v>701</v>
      </c>
      <c r="C187" s="1" t="s">
        <v>702</v>
      </c>
      <c r="D187" s="9" t="str">
        <f t="shared" si="2"/>
        <v>55+</v>
      </c>
      <c r="E187" s="8">
        <v>58</v>
      </c>
      <c r="F187" s="1" t="s">
        <v>22</v>
      </c>
      <c r="G187" s="4">
        <v>44890</v>
      </c>
      <c r="H187" s="1" t="s">
        <v>32</v>
      </c>
      <c r="I187" s="2">
        <v>310</v>
      </c>
      <c r="J187" t="s">
        <v>34</v>
      </c>
      <c r="K187" t="s">
        <v>760</v>
      </c>
    </row>
    <row r="188" spans="1:11" x14ac:dyDescent="0.35">
      <c r="A188" s="1" t="s">
        <v>703</v>
      </c>
      <c r="B188" s="1" t="s">
        <v>704</v>
      </c>
      <c r="C188" s="1" t="s">
        <v>705</v>
      </c>
      <c r="D188" s="9" t="str">
        <f t="shared" si="2"/>
        <v>35-44</v>
      </c>
      <c r="E188" s="8">
        <v>36</v>
      </c>
      <c r="F188" s="1" t="s">
        <v>14</v>
      </c>
      <c r="G188" s="4">
        <v>44897</v>
      </c>
      <c r="H188" s="1" t="s">
        <v>756</v>
      </c>
      <c r="I188" s="2" t="s">
        <v>706</v>
      </c>
      <c r="J188" t="s">
        <v>43</v>
      </c>
      <c r="K188" t="s">
        <v>762</v>
      </c>
    </row>
    <row r="189" spans="1:11" x14ac:dyDescent="0.35">
      <c r="A189" s="1" t="s">
        <v>707</v>
      </c>
      <c r="B189" s="1" t="s">
        <v>708</v>
      </c>
      <c r="C189" s="1" t="s">
        <v>499</v>
      </c>
      <c r="D189" s="9" t="str">
        <f t="shared" si="2"/>
        <v>25-34</v>
      </c>
      <c r="E189" s="8">
        <v>34</v>
      </c>
      <c r="F189" s="1" t="s">
        <v>22</v>
      </c>
      <c r="G189" s="4">
        <v>44897</v>
      </c>
      <c r="H189" s="1" t="s">
        <v>756</v>
      </c>
      <c r="I189" s="2" t="s">
        <v>753</v>
      </c>
      <c r="J189" t="s">
        <v>754</v>
      </c>
      <c r="K189" t="s">
        <v>762</v>
      </c>
    </row>
    <row r="190" spans="1:11" x14ac:dyDescent="0.35">
      <c r="A190" s="1" t="s">
        <v>709</v>
      </c>
      <c r="B190" s="1" t="s">
        <v>710</v>
      </c>
      <c r="C190" s="1" t="s">
        <v>502</v>
      </c>
      <c r="D190" s="9" t="str">
        <f t="shared" si="2"/>
        <v>45-54</v>
      </c>
      <c r="E190" s="8">
        <v>53</v>
      </c>
      <c r="F190" s="1" t="s">
        <v>22</v>
      </c>
      <c r="G190" s="4">
        <v>44898</v>
      </c>
      <c r="H190" s="1" t="s">
        <v>757</v>
      </c>
      <c r="I190" s="2" t="s">
        <v>711</v>
      </c>
      <c r="J190" t="s">
        <v>55</v>
      </c>
      <c r="K190" t="s">
        <v>748</v>
      </c>
    </row>
    <row r="191" spans="1:11" x14ac:dyDescent="0.35">
      <c r="A191" s="1" t="s">
        <v>712</v>
      </c>
      <c r="B191" s="1" t="s">
        <v>713</v>
      </c>
      <c r="C191" s="1" t="s">
        <v>436</v>
      </c>
      <c r="D191" s="9" t="str">
        <f t="shared" si="2"/>
        <v>45-54</v>
      </c>
      <c r="E191" s="8">
        <v>51</v>
      </c>
      <c r="F191" s="1" t="s">
        <v>14</v>
      </c>
      <c r="G191" s="4">
        <v>44898</v>
      </c>
      <c r="H191" s="1" t="s">
        <v>757</v>
      </c>
      <c r="I191" s="2">
        <v>1730</v>
      </c>
      <c r="J191" t="s">
        <v>55</v>
      </c>
      <c r="K191" t="s">
        <v>748</v>
      </c>
    </row>
    <row r="192" spans="1:11" x14ac:dyDescent="0.35">
      <c r="A192" s="1" t="s">
        <v>714</v>
      </c>
      <c r="B192" s="1" t="s">
        <v>715</v>
      </c>
      <c r="C192" s="1" t="s">
        <v>439</v>
      </c>
      <c r="D192" s="9" t="str">
        <f t="shared" si="2"/>
        <v>35-44</v>
      </c>
      <c r="E192" s="8">
        <v>43</v>
      </c>
      <c r="F192" s="1" t="s">
        <v>14</v>
      </c>
      <c r="G192" s="4">
        <v>44903</v>
      </c>
      <c r="H192" s="1" t="s">
        <v>755</v>
      </c>
      <c r="I192" s="2" t="s">
        <v>716</v>
      </c>
      <c r="J192" t="s">
        <v>15</v>
      </c>
      <c r="K192" t="s">
        <v>759</v>
      </c>
    </row>
    <row r="193" spans="1:11" x14ac:dyDescent="0.35">
      <c r="A193" s="1" t="s">
        <v>717</v>
      </c>
      <c r="B193" s="1" t="s">
        <v>718</v>
      </c>
      <c r="C193" s="1" t="s">
        <v>719</v>
      </c>
      <c r="D193" s="9" t="str">
        <f t="shared" si="2"/>
        <v>35-44</v>
      </c>
      <c r="E193" s="8">
        <v>39</v>
      </c>
      <c r="F193" s="1" t="s">
        <v>22</v>
      </c>
      <c r="G193" s="4">
        <v>44903</v>
      </c>
      <c r="H193" s="1" t="s">
        <v>755</v>
      </c>
      <c r="I193" s="2">
        <v>890</v>
      </c>
      <c r="J193" t="s">
        <v>15</v>
      </c>
      <c r="K193" t="s">
        <v>759</v>
      </c>
    </row>
    <row r="194" spans="1:11" x14ac:dyDescent="0.35">
      <c r="A194" s="1" t="s">
        <v>720</v>
      </c>
      <c r="B194" s="1" t="s">
        <v>721</v>
      </c>
      <c r="C194" s="1" t="s">
        <v>515</v>
      </c>
      <c r="D194" s="9" t="str">
        <f t="shared" si="2"/>
        <v>55+</v>
      </c>
      <c r="E194" s="8">
        <v>61</v>
      </c>
      <c r="F194" s="1" t="s">
        <v>14</v>
      </c>
      <c r="G194" s="4">
        <v>44906</v>
      </c>
      <c r="H194" s="1" t="s">
        <v>758</v>
      </c>
      <c r="I194" s="2" t="s">
        <v>300</v>
      </c>
      <c r="J194" t="s">
        <v>24</v>
      </c>
      <c r="K194" t="s">
        <v>761</v>
      </c>
    </row>
    <row r="195" spans="1:11" x14ac:dyDescent="0.35">
      <c r="A195" s="1" t="s">
        <v>723</v>
      </c>
      <c r="B195" s="1" t="s">
        <v>724</v>
      </c>
      <c r="C195" s="1" t="s">
        <v>725</v>
      </c>
      <c r="D195" s="9" t="str">
        <f t="shared" ref="D195:D200" si="3">VLOOKUP(E195,$L$2:$M$6,2,TRUE)</f>
        <v>55+</v>
      </c>
      <c r="E195" s="8">
        <v>56</v>
      </c>
      <c r="F195" s="1" t="s">
        <v>22</v>
      </c>
      <c r="G195" s="4">
        <v>44906</v>
      </c>
      <c r="H195" s="1" t="s">
        <v>758</v>
      </c>
      <c r="I195" s="2" t="s">
        <v>726</v>
      </c>
      <c r="J195" t="s">
        <v>24</v>
      </c>
      <c r="K195" t="s">
        <v>761</v>
      </c>
    </row>
    <row r="196" spans="1:11" x14ac:dyDescent="0.35">
      <c r="A196" s="1" t="s">
        <v>727</v>
      </c>
      <c r="B196" s="1" t="s">
        <v>728</v>
      </c>
      <c r="C196" s="1" t="s">
        <v>729</v>
      </c>
      <c r="D196" s="9" t="str">
        <f t="shared" si="3"/>
        <v>35-44</v>
      </c>
      <c r="E196" s="8">
        <v>41</v>
      </c>
      <c r="F196" s="1" t="s">
        <v>14</v>
      </c>
      <c r="G196" s="4">
        <v>44914</v>
      </c>
      <c r="H196" s="1" t="s">
        <v>32</v>
      </c>
      <c r="I196" s="2" t="s">
        <v>730</v>
      </c>
      <c r="J196" t="s">
        <v>34</v>
      </c>
      <c r="K196" t="s">
        <v>760</v>
      </c>
    </row>
    <row r="197" spans="1:11" x14ac:dyDescent="0.35">
      <c r="A197" s="1" t="s">
        <v>731</v>
      </c>
      <c r="B197" s="1" t="s">
        <v>732</v>
      </c>
      <c r="C197" s="1" t="s">
        <v>733</v>
      </c>
      <c r="D197" s="9" t="str">
        <f t="shared" si="3"/>
        <v>35-44</v>
      </c>
      <c r="E197" s="8">
        <v>38</v>
      </c>
      <c r="F197" s="1" t="s">
        <v>22</v>
      </c>
      <c r="G197" s="4">
        <v>44914</v>
      </c>
      <c r="H197" s="1" t="s">
        <v>32</v>
      </c>
      <c r="I197" s="2">
        <v>550</v>
      </c>
      <c r="J197" t="s">
        <v>34</v>
      </c>
      <c r="K197" t="s">
        <v>760</v>
      </c>
    </row>
    <row r="198" spans="1:11" x14ac:dyDescent="0.35">
      <c r="A198" s="1" t="s">
        <v>734</v>
      </c>
      <c r="B198" s="1" t="s">
        <v>735</v>
      </c>
      <c r="C198" s="1" t="s">
        <v>736</v>
      </c>
      <c r="D198" s="9" t="str">
        <f t="shared" si="3"/>
        <v>25-34</v>
      </c>
      <c r="E198" s="8">
        <v>33</v>
      </c>
      <c r="F198" s="1" t="s">
        <v>14</v>
      </c>
      <c r="G198" s="4">
        <v>44922</v>
      </c>
      <c r="H198" s="1" t="s">
        <v>756</v>
      </c>
      <c r="I198" s="2" t="s">
        <v>737</v>
      </c>
      <c r="J198" t="s">
        <v>43</v>
      </c>
      <c r="K198" t="s">
        <v>762</v>
      </c>
    </row>
    <row r="199" spans="1:11" x14ac:dyDescent="0.35">
      <c r="A199" s="1" t="s">
        <v>738</v>
      </c>
      <c r="B199" s="1" t="s">
        <v>739</v>
      </c>
      <c r="C199" s="1" t="s">
        <v>740</v>
      </c>
      <c r="D199" s="9" t="str">
        <f t="shared" si="3"/>
        <v>25-34</v>
      </c>
      <c r="E199" s="8">
        <v>32</v>
      </c>
      <c r="F199" s="1" t="s">
        <v>22</v>
      </c>
      <c r="G199" s="4">
        <v>44922</v>
      </c>
      <c r="H199" s="1" t="s">
        <v>756</v>
      </c>
      <c r="I199" s="2">
        <v>2600</v>
      </c>
      <c r="J199" t="s">
        <v>43</v>
      </c>
      <c r="K199" t="s">
        <v>762</v>
      </c>
    </row>
    <row r="200" spans="1:11" x14ac:dyDescent="0.35">
      <c r="D200" s="9" t="str">
        <f t="shared" si="3"/>
        <v>18-24</v>
      </c>
      <c r="E200"/>
    </row>
    <row r="201" spans="1:11" x14ac:dyDescent="0.35">
      <c r="E201"/>
    </row>
    <row r="202" spans="1:11" x14ac:dyDescent="0.35">
      <c r="E202"/>
    </row>
  </sheetData>
  <sortState ref="G2:G202">
    <sortCondition ref="G1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topLeftCell="A163" workbookViewId="0">
      <selection activeCell="G17" sqref="G17"/>
    </sheetView>
  </sheetViews>
  <sheetFormatPr defaultRowHeight="14.5" x14ac:dyDescent="0.35"/>
  <cols>
    <col min="1" max="1" width="12.08984375" bestFit="1" customWidth="1"/>
    <col min="2" max="2" width="11.1796875" bestFit="1" customWidth="1"/>
    <col min="3" max="3" width="14.453125" bestFit="1" customWidth="1"/>
    <col min="4" max="4" width="7.36328125" customWidth="1"/>
    <col min="5" max="5" width="10.08984375" bestFit="1" customWidth="1"/>
    <col min="6" max="6" width="10.453125" bestFit="1" customWidth="1"/>
    <col min="7" max="7" width="9.81640625" bestFit="1" customWidth="1"/>
    <col min="8" max="8" width="12.7265625" style="3" bestFit="1" customWidth="1"/>
    <col min="9" max="9" width="9.36328125" bestFit="1" customWidth="1"/>
    <col min="10" max="11" width="13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4">
        <v>44870</v>
      </c>
      <c r="G2" s="1" t="s">
        <v>755</v>
      </c>
      <c r="H2" s="2">
        <v>1200</v>
      </c>
      <c r="I2" t="s">
        <v>15</v>
      </c>
      <c r="J2" t="s">
        <v>759</v>
      </c>
    </row>
    <row r="3" spans="1:10" x14ac:dyDescent="0.35">
      <c r="A3" s="1" t="s">
        <v>10</v>
      </c>
      <c r="B3" s="1" t="s">
        <v>11</v>
      </c>
      <c r="C3" s="1" t="s">
        <v>16</v>
      </c>
      <c r="D3" s="1" t="s">
        <v>13</v>
      </c>
      <c r="E3" s="1" t="s">
        <v>14</v>
      </c>
      <c r="F3" s="4">
        <v>44692</v>
      </c>
      <c r="G3" s="1" t="s">
        <v>755</v>
      </c>
      <c r="H3" s="2" t="s">
        <v>17</v>
      </c>
      <c r="I3" t="s">
        <v>15</v>
      </c>
      <c r="J3" t="s">
        <v>759</v>
      </c>
    </row>
    <row r="4" spans="1:10" x14ac:dyDescent="0.3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4">
        <v>44848</v>
      </c>
      <c r="G4" s="1" t="s">
        <v>758</v>
      </c>
      <c r="H4" s="2" t="s">
        <v>23</v>
      </c>
      <c r="I4" t="s">
        <v>24</v>
      </c>
      <c r="J4" t="s">
        <v>761</v>
      </c>
    </row>
    <row r="5" spans="1:10" x14ac:dyDescent="0.35">
      <c r="A5" s="1" t="s">
        <v>25</v>
      </c>
      <c r="B5" s="1" t="s">
        <v>26</v>
      </c>
      <c r="C5" s="1" t="s">
        <v>27</v>
      </c>
      <c r="D5" s="1" t="s">
        <v>28</v>
      </c>
      <c r="E5" s="1" t="s">
        <v>14</v>
      </c>
      <c r="F5" s="4">
        <v>44848</v>
      </c>
      <c r="G5" s="1" t="s">
        <v>758</v>
      </c>
      <c r="H5" s="2">
        <v>950</v>
      </c>
      <c r="I5" t="s">
        <v>24</v>
      </c>
      <c r="J5" t="s">
        <v>761</v>
      </c>
    </row>
    <row r="6" spans="1:10" x14ac:dyDescent="0.35">
      <c r="A6" s="1" t="s">
        <v>29</v>
      </c>
      <c r="B6" s="1" t="s">
        <v>30</v>
      </c>
      <c r="C6" s="1" t="s">
        <v>31</v>
      </c>
      <c r="D6" s="1"/>
      <c r="E6" s="1" t="s">
        <v>22</v>
      </c>
      <c r="F6" s="4">
        <v>44834</v>
      </c>
      <c r="G6" s="1" t="s">
        <v>32</v>
      </c>
      <c r="H6" s="2" t="s">
        <v>33</v>
      </c>
      <c r="I6" t="s">
        <v>34</v>
      </c>
      <c r="J6" t="s">
        <v>760</v>
      </c>
    </row>
    <row r="7" spans="1:10" x14ac:dyDescent="0.35">
      <c r="A7" s="1" t="s">
        <v>35</v>
      </c>
      <c r="B7" s="1" t="s">
        <v>36</v>
      </c>
      <c r="C7" s="1" t="s">
        <v>37</v>
      </c>
      <c r="D7" s="1" t="s">
        <v>38</v>
      </c>
      <c r="E7" s="1" t="s">
        <v>14</v>
      </c>
      <c r="F7" s="1" t="s">
        <v>763</v>
      </c>
      <c r="G7" s="1" t="s">
        <v>32</v>
      </c>
      <c r="H7" s="2">
        <v>200</v>
      </c>
      <c r="I7" t="s">
        <v>34</v>
      </c>
      <c r="J7" t="s">
        <v>760</v>
      </c>
    </row>
    <row r="8" spans="1:10" x14ac:dyDescent="0.35">
      <c r="A8" s="1" t="s">
        <v>39</v>
      </c>
      <c r="B8" s="1" t="s">
        <v>40</v>
      </c>
      <c r="C8" s="1" t="s">
        <v>41</v>
      </c>
      <c r="D8" s="1" t="s">
        <v>42</v>
      </c>
      <c r="E8" s="1" t="s">
        <v>22</v>
      </c>
      <c r="F8" s="4">
        <v>44788</v>
      </c>
      <c r="G8" s="1" t="s">
        <v>756</v>
      </c>
      <c r="H8" s="2">
        <v>2500</v>
      </c>
      <c r="I8" t="s">
        <v>43</v>
      </c>
      <c r="J8" t="s">
        <v>762</v>
      </c>
    </row>
    <row r="9" spans="1:10" x14ac:dyDescent="0.35">
      <c r="A9" s="1" t="s">
        <v>44</v>
      </c>
      <c r="B9" s="1" t="s">
        <v>45</v>
      </c>
      <c r="C9" s="1" t="s">
        <v>46</v>
      </c>
      <c r="D9" s="1" t="s">
        <v>47</v>
      </c>
      <c r="E9" s="1" t="s">
        <v>14</v>
      </c>
      <c r="F9" s="2" t="s">
        <v>48</v>
      </c>
      <c r="G9" s="1" t="s">
        <v>756</v>
      </c>
      <c r="H9" s="2" t="s">
        <v>49</v>
      </c>
      <c r="I9" t="s">
        <v>43</v>
      </c>
      <c r="J9" t="s">
        <v>762</v>
      </c>
    </row>
    <row r="10" spans="1:10" x14ac:dyDescent="0.35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22</v>
      </c>
      <c r="F10" s="4">
        <v>44743</v>
      </c>
      <c r="G10" s="1" t="s">
        <v>757</v>
      </c>
      <c r="H10" s="2" t="s">
        <v>54</v>
      </c>
      <c r="I10" t="s">
        <v>55</v>
      </c>
      <c r="J10" t="s">
        <v>748</v>
      </c>
    </row>
    <row r="11" spans="1:10" x14ac:dyDescent="0.35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14</v>
      </c>
      <c r="F11" s="4">
        <v>44743</v>
      </c>
      <c r="G11" s="1" t="s">
        <v>757</v>
      </c>
      <c r="H11" s="2">
        <v>1</v>
      </c>
      <c r="I11" t="s">
        <v>55</v>
      </c>
      <c r="J11" t="s">
        <v>748</v>
      </c>
    </row>
    <row r="12" spans="1:10" x14ac:dyDescent="0.35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22</v>
      </c>
      <c r="F12" s="4">
        <v>44732</v>
      </c>
      <c r="G12" s="1" t="s">
        <v>755</v>
      </c>
      <c r="H12" s="2" t="s">
        <v>64</v>
      </c>
      <c r="I12" t="s">
        <v>15</v>
      </c>
      <c r="J12" t="s">
        <v>759</v>
      </c>
    </row>
    <row r="13" spans="1:10" x14ac:dyDescent="0.35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14</v>
      </c>
      <c r="F13" s="4">
        <v>44732</v>
      </c>
      <c r="G13" s="1" t="s">
        <v>755</v>
      </c>
      <c r="H13" s="2">
        <v>900</v>
      </c>
      <c r="I13" t="s">
        <v>15</v>
      </c>
      <c r="J13" t="s">
        <v>759</v>
      </c>
    </row>
    <row r="14" spans="1:10" x14ac:dyDescent="0.35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22</v>
      </c>
      <c r="F14" s="4">
        <v>44692</v>
      </c>
      <c r="G14" s="1" t="s">
        <v>758</v>
      </c>
      <c r="H14" s="2" t="s">
        <v>73</v>
      </c>
      <c r="I14" t="s">
        <v>24</v>
      </c>
      <c r="J14" t="s">
        <v>761</v>
      </c>
    </row>
    <row r="15" spans="1:10" x14ac:dyDescent="0.35">
      <c r="A15" s="1" t="s">
        <v>74</v>
      </c>
      <c r="B15" s="1" t="s">
        <v>75</v>
      </c>
      <c r="C15" s="1" t="s">
        <v>76</v>
      </c>
      <c r="D15" s="1" t="s">
        <v>77</v>
      </c>
      <c r="E15" s="1" t="s">
        <v>14</v>
      </c>
      <c r="F15" s="4">
        <v>44692</v>
      </c>
      <c r="G15" s="1" t="s">
        <v>758</v>
      </c>
      <c r="H15" s="2" t="s">
        <v>78</v>
      </c>
      <c r="I15" t="s">
        <v>24</v>
      </c>
      <c r="J15" t="s">
        <v>761</v>
      </c>
    </row>
    <row r="16" spans="1:10" x14ac:dyDescent="0.35">
      <c r="A16" s="1" t="s">
        <v>80</v>
      </c>
      <c r="B16" s="1" t="s">
        <v>81</v>
      </c>
      <c r="C16" s="1" t="s">
        <v>82</v>
      </c>
      <c r="D16" s="1" t="s">
        <v>83</v>
      </c>
      <c r="E16" s="1" t="s">
        <v>14</v>
      </c>
      <c r="F16" s="4">
        <v>44660</v>
      </c>
      <c r="G16" s="1" t="s">
        <v>32</v>
      </c>
      <c r="H16" s="2" t="s">
        <v>84</v>
      </c>
      <c r="I16" t="s">
        <v>34</v>
      </c>
      <c r="J16" t="s">
        <v>760</v>
      </c>
    </row>
    <row r="17" spans="1:10" x14ac:dyDescent="0.35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22</v>
      </c>
      <c r="F17" s="4">
        <v>44642</v>
      </c>
      <c r="G17" s="1" t="s">
        <v>756</v>
      </c>
      <c r="H17" s="2" t="s">
        <v>89</v>
      </c>
      <c r="I17" t="s">
        <v>43</v>
      </c>
      <c r="J17" t="s">
        <v>762</v>
      </c>
    </row>
    <row r="18" spans="1:10" x14ac:dyDescent="0.35">
      <c r="A18" s="1" t="s">
        <v>90</v>
      </c>
      <c r="B18" s="1" t="s">
        <v>91</v>
      </c>
      <c r="C18" s="1" t="s">
        <v>92</v>
      </c>
      <c r="D18" s="1" t="s">
        <v>93</v>
      </c>
      <c r="E18" s="1" t="s">
        <v>14</v>
      </c>
      <c r="F18" s="4">
        <v>44642</v>
      </c>
      <c r="G18" s="1" t="s">
        <v>756</v>
      </c>
      <c r="H18" s="2">
        <v>2000</v>
      </c>
      <c r="I18" t="s">
        <v>43</v>
      </c>
      <c r="J18" t="s">
        <v>762</v>
      </c>
    </row>
    <row r="19" spans="1:10" x14ac:dyDescent="0.35">
      <c r="A19" s="1" t="s">
        <v>94</v>
      </c>
      <c r="B19" s="1" t="s">
        <v>95</v>
      </c>
      <c r="C19" s="1" t="s">
        <v>96</v>
      </c>
      <c r="D19" s="1" t="s">
        <v>97</v>
      </c>
      <c r="E19" s="1" t="s">
        <v>22</v>
      </c>
      <c r="F19" s="4">
        <v>44602</v>
      </c>
      <c r="G19" s="1" t="s">
        <v>757</v>
      </c>
      <c r="H19" s="2" t="s">
        <v>98</v>
      </c>
      <c r="I19" t="s">
        <v>55</v>
      </c>
      <c r="J19" t="s">
        <v>748</v>
      </c>
    </row>
    <row r="20" spans="1:10" x14ac:dyDescent="0.35">
      <c r="A20" s="1" t="s">
        <v>99</v>
      </c>
      <c r="B20" s="1" t="s">
        <v>100</v>
      </c>
      <c r="C20" s="1" t="s">
        <v>101</v>
      </c>
      <c r="D20" s="1" t="s">
        <v>102</v>
      </c>
      <c r="E20" s="1" t="s">
        <v>14</v>
      </c>
      <c r="F20" s="4">
        <v>44602</v>
      </c>
      <c r="G20" s="1" t="s">
        <v>757</v>
      </c>
      <c r="H20" s="2">
        <v>1500</v>
      </c>
      <c r="I20" t="s">
        <v>55</v>
      </c>
      <c r="J20" t="s">
        <v>748</v>
      </c>
    </row>
    <row r="21" spans="1:10" x14ac:dyDescent="0.35">
      <c r="A21" s="1" t="s">
        <v>103</v>
      </c>
      <c r="B21" s="1" t="s">
        <v>104</v>
      </c>
      <c r="C21" s="1" t="s">
        <v>105</v>
      </c>
      <c r="D21" s="1" t="s">
        <v>106</v>
      </c>
      <c r="E21" s="1" t="s">
        <v>22</v>
      </c>
      <c r="F21" s="4">
        <v>44566</v>
      </c>
      <c r="G21" s="1" t="s">
        <v>755</v>
      </c>
      <c r="H21" s="2" t="s">
        <v>54</v>
      </c>
      <c r="I21" t="s">
        <v>15</v>
      </c>
      <c r="J21" t="s">
        <v>759</v>
      </c>
    </row>
    <row r="22" spans="1:10" x14ac:dyDescent="0.35">
      <c r="A22" s="1" t="s">
        <v>107</v>
      </c>
      <c r="B22" s="1" t="s">
        <v>108</v>
      </c>
      <c r="C22" s="1" t="s">
        <v>109</v>
      </c>
      <c r="D22" s="1" t="s">
        <v>110</v>
      </c>
      <c r="E22" s="1" t="s">
        <v>14</v>
      </c>
      <c r="F22" s="4">
        <v>44576</v>
      </c>
      <c r="G22" s="1" t="s">
        <v>755</v>
      </c>
      <c r="H22" s="2">
        <v>1300</v>
      </c>
      <c r="I22" t="s">
        <v>15</v>
      </c>
      <c r="J22" t="s">
        <v>759</v>
      </c>
    </row>
    <row r="23" spans="1:10" x14ac:dyDescent="0.35">
      <c r="A23" s="1" t="s">
        <v>111</v>
      </c>
      <c r="B23" s="1" t="s">
        <v>112</v>
      </c>
      <c r="C23" s="1" t="s">
        <v>113</v>
      </c>
      <c r="D23" s="1" t="s">
        <v>114</v>
      </c>
      <c r="E23" s="1" t="s">
        <v>22</v>
      </c>
      <c r="F23" s="4">
        <v>44576</v>
      </c>
      <c r="G23" s="1" t="s">
        <v>755</v>
      </c>
      <c r="H23" s="2" t="s">
        <v>115</v>
      </c>
      <c r="I23" t="s">
        <v>15</v>
      </c>
      <c r="J23" t="s">
        <v>759</v>
      </c>
    </row>
    <row r="24" spans="1:10" x14ac:dyDescent="0.35">
      <c r="A24" s="1" t="s">
        <v>116</v>
      </c>
      <c r="B24" s="1" t="s">
        <v>117</v>
      </c>
      <c r="C24" s="1" t="s">
        <v>118</v>
      </c>
      <c r="D24" s="1" t="s">
        <v>119</v>
      </c>
      <c r="E24" s="1" t="s">
        <v>14</v>
      </c>
      <c r="F24" s="4">
        <v>44610</v>
      </c>
      <c r="G24" s="1" t="s">
        <v>758</v>
      </c>
      <c r="H24" s="2" t="s">
        <v>64</v>
      </c>
      <c r="I24" t="s">
        <v>24</v>
      </c>
      <c r="J24" t="s">
        <v>761</v>
      </c>
    </row>
    <row r="25" spans="1:10" x14ac:dyDescent="0.35">
      <c r="A25" s="1" t="s">
        <v>120</v>
      </c>
      <c r="B25" s="1" t="s">
        <v>121</v>
      </c>
      <c r="C25" s="1" t="s">
        <v>122</v>
      </c>
      <c r="D25" s="1" t="s">
        <v>79</v>
      </c>
      <c r="E25" s="1" t="s">
        <v>22</v>
      </c>
      <c r="F25" s="4">
        <v>44610</v>
      </c>
      <c r="G25" s="1" t="s">
        <v>758</v>
      </c>
      <c r="H25" s="2">
        <v>900</v>
      </c>
      <c r="I25" t="s">
        <v>24</v>
      </c>
      <c r="J25" t="s">
        <v>761</v>
      </c>
    </row>
    <row r="26" spans="1:10" x14ac:dyDescent="0.35">
      <c r="A26" s="1" t="s">
        <v>123</v>
      </c>
      <c r="B26" s="1" t="s">
        <v>124</v>
      </c>
      <c r="C26" s="1" t="s">
        <v>125</v>
      </c>
      <c r="D26" s="1" t="s">
        <v>126</v>
      </c>
      <c r="E26" s="1" t="s">
        <v>14</v>
      </c>
      <c r="F26" s="4">
        <v>44621</v>
      </c>
      <c r="G26" s="1" t="s">
        <v>32</v>
      </c>
      <c r="H26" s="2" t="s">
        <v>127</v>
      </c>
      <c r="I26" t="s">
        <v>34</v>
      </c>
      <c r="J26" t="s">
        <v>760</v>
      </c>
    </row>
    <row r="27" spans="1:10" x14ac:dyDescent="0.35">
      <c r="A27" s="1" t="s">
        <v>128</v>
      </c>
      <c r="B27" s="1" t="s">
        <v>129</v>
      </c>
      <c r="C27" s="1" t="s">
        <v>130</v>
      </c>
      <c r="D27" s="1" t="s">
        <v>68</v>
      </c>
      <c r="E27" s="1" t="s">
        <v>22</v>
      </c>
      <c r="F27" s="4">
        <v>44621</v>
      </c>
      <c r="G27" s="1" t="s">
        <v>32</v>
      </c>
      <c r="H27" s="2">
        <v>250</v>
      </c>
      <c r="I27" t="s">
        <v>34</v>
      </c>
      <c r="J27" t="s">
        <v>760</v>
      </c>
    </row>
    <row r="28" spans="1:10" x14ac:dyDescent="0.35">
      <c r="A28" s="1" t="s">
        <v>131</v>
      </c>
      <c r="B28" s="1" t="s">
        <v>132</v>
      </c>
      <c r="C28" s="1" t="s">
        <v>133</v>
      </c>
      <c r="D28" s="1" t="s">
        <v>93</v>
      </c>
      <c r="E28" s="1" t="s">
        <v>14</v>
      </c>
      <c r="F28" s="4">
        <v>44642</v>
      </c>
      <c r="G28" s="1" t="s">
        <v>756</v>
      </c>
      <c r="H28" s="2" t="s">
        <v>134</v>
      </c>
      <c r="I28" t="s">
        <v>43</v>
      </c>
      <c r="J28" t="s">
        <v>762</v>
      </c>
    </row>
    <row r="29" spans="1:10" x14ac:dyDescent="0.35">
      <c r="A29" s="1" t="s">
        <v>135</v>
      </c>
      <c r="B29" s="1" t="s">
        <v>136</v>
      </c>
      <c r="C29" s="1" t="s">
        <v>137</v>
      </c>
      <c r="D29" s="1" t="s">
        <v>63</v>
      </c>
      <c r="E29" s="1" t="s">
        <v>22</v>
      </c>
      <c r="F29" s="4">
        <v>44642</v>
      </c>
      <c r="G29" s="1" t="s">
        <v>756</v>
      </c>
      <c r="H29" s="2" t="s">
        <v>744</v>
      </c>
      <c r="I29" t="s">
        <v>43</v>
      </c>
      <c r="J29" t="s">
        <v>762</v>
      </c>
    </row>
    <row r="30" spans="1:10" x14ac:dyDescent="0.35">
      <c r="A30" s="1" t="s">
        <v>138</v>
      </c>
      <c r="B30" s="1" t="s">
        <v>139</v>
      </c>
      <c r="C30" s="1" t="s">
        <v>140</v>
      </c>
      <c r="D30" s="1" t="s">
        <v>28</v>
      </c>
      <c r="E30" s="1" t="s">
        <v>14</v>
      </c>
      <c r="F30" s="4">
        <v>44661</v>
      </c>
      <c r="G30" s="1" t="s">
        <v>757</v>
      </c>
      <c r="H30" s="2" t="s">
        <v>141</v>
      </c>
      <c r="I30" t="s">
        <v>55</v>
      </c>
      <c r="J30" t="s">
        <v>748</v>
      </c>
    </row>
    <row r="31" spans="1:10" x14ac:dyDescent="0.35">
      <c r="A31" s="1" t="s">
        <v>142</v>
      </c>
      <c r="B31" s="1" t="s">
        <v>143</v>
      </c>
      <c r="C31" s="1" t="s">
        <v>144</v>
      </c>
      <c r="D31" s="1" t="s">
        <v>59</v>
      </c>
      <c r="E31" s="1" t="s">
        <v>22</v>
      </c>
      <c r="F31" s="4">
        <v>44661</v>
      </c>
      <c r="G31" s="1" t="s">
        <v>757</v>
      </c>
      <c r="H31" s="2">
        <v>1600</v>
      </c>
      <c r="I31" t="s">
        <v>55</v>
      </c>
      <c r="J31" t="s">
        <v>748</v>
      </c>
    </row>
    <row r="32" spans="1:10" x14ac:dyDescent="0.35">
      <c r="A32" s="1" t="s">
        <v>145</v>
      </c>
      <c r="B32" s="1" t="s">
        <v>146</v>
      </c>
      <c r="C32" s="1" t="s">
        <v>147</v>
      </c>
      <c r="D32" s="1" t="s">
        <v>77</v>
      </c>
      <c r="E32" s="1" t="s">
        <v>14</v>
      </c>
      <c r="F32" s="4">
        <v>44686</v>
      </c>
      <c r="G32" s="1" t="s">
        <v>755</v>
      </c>
      <c r="H32" s="2" t="s">
        <v>148</v>
      </c>
      <c r="I32" t="s">
        <v>15</v>
      </c>
      <c r="J32" t="s">
        <v>759</v>
      </c>
    </row>
    <row r="33" spans="1:10" x14ac:dyDescent="0.35">
      <c r="A33" s="1" t="s">
        <v>149</v>
      </c>
      <c r="B33" s="1" t="s">
        <v>150</v>
      </c>
      <c r="C33" s="1" t="s">
        <v>151</v>
      </c>
      <c r="D33" s="1" t="s">
        <v>21</v>
      </c>
      <c r="E33" s="1" t="s">
        <v>22</v>
      </c>
      <c r="F33" s="4">
        <v>44686</v>
      </c>
      <c r="G33" s="1" t="s">
        <v>755</v>
      </c>
      <c r="H33" s="2">
        <v>850</v>
      </c>
      <c r="I33" t="s">
        <v>15</v>
      </c>
      <c r="J33" t="s">
        <v>759</v>
      </c>
    </row>
    <row r="34" spans="1:10" x14ac:dyDescent="0.35">
      <c r="A34" s="1" t="s">
        <v>152</v>
      </c>
      <c r="B34" s="1" t="s">
        <v>153</v>
      </c>
      <c r="C34" s="1" t="s">
        <v>154</v>
      </c>
      <c r="D34" s="1" t="s">
        <v>38</v>
      </c>
      <c r="E34" s="1" t="s">
        <v>14</v>
      </c>
      <c r="F34" s="4">
        <v>44726</v>
      </c>
      <c r="G34" s="1" t="s">
        <v>758</v>
      </c>
      <c r="H34" s="2" t="s">
        <v>155</v>
      </c>
      <c r="I34" t="s">
        <v>24</v>
      </c>
      <c r="J34" t="s">
        <v>761</v>
      </c>
    </row>
    <row r="35" spans="1:10" x14ac:dyDescent="0.35">
      <c r="A35" s="1" t="s">
        <v>156</v>
      </c>
      <c r="B35" s="1" t="s">
        <v>157</v>
      </c>
      <c r="C35" s="1" t="s">
        <v>158</v>
      </c>
      <c r="D35" s="1" t="s">
        <v>102</v>
      </c>
      <c r="E35" s="1" t="s">
        <v>22</v>
      </c>
      <c r="F35" s="4">
        <v>44726</v>
      </c>
      <c r="G35" s="1" t="s">
        <v>758</v>
      </c>
      <c r="H35" s="2" t="s">
        <v>159</v>
      </c>
      <c r="I35" t="s">
        <v>24</v>
      </c>
      <c r="J35" t="s">
        <v>761</v>
      </c>
    </row>
    <row r="36" spans="1:10" x14ac:dyDescent="0.35">
      <c r="A36" s="1" t="s">
        <v>160</v>
      </c>
      <c r="B36" s="1" t="s">
        <v>161</v>
      </c>
      <c r="C36" s="1" t="s">
        <v>162</v>
      </c>
      <c r="D36" s="1" t="s">
        <v>13</v>
      </c>
      <c r="E36" s="1" t="s">
        <v>14</v>
      </c>
      <c r="F36" s="4">
        <v>44751</v>
      </c>
      <c r="G36" s="1" t="s">
        <v>32</v>
      </c>
      <c r="H36" s="2" t="s">
        <v>163</v>
      </c>
      <c r="I36" t="s">
        <v>34</v>
      </c>
      <c r="J36" t="s">
        <v>760</v>
      </c>
    </row>
    <row r="37" spans="1:10" x14ac:dyDescent="0.35">
      <c r="A37" s="1" t="s">
        <v>164</v>
      </c>
      <c r="B37" s="1" t="s">
        <v>165</v>
      </c>
      <c r="C37" s="1" t="s">
        <v>166</v>
      </c>
      <c r="D37" s="1" t="s">
        <v>106</v>
      </c>
      <c r="E37" s="1" t="s">
        <v>22</v>
      </c>
      <c r="F37" s="4">
        <v>44751</v>
      </c>
      <c r="G37" s="1" t="s">
        <v>32</v>
      </c>
      <c r="H37" s="2">
        <v>500</v>
      </c>
      <c r="I37" t="s">
        <v>34</v>
      </c>
      <c r="J37" t="s">
        <v>760</v>
      </c>
    </row>
    <row r="38" spans="1:10" x14ac:dyDescent="0.35">
      <c r="A38" s="1" t="s">
        <v>167</v>
      </c>
      <c r="B38" s="1" t="s">
        <v>168</v>
      </c>
      <c r="C38" s="1" t="s">
        <v>169</v>
      </c>
      <c r="D38" s="1" t="s">
        <v>72</v>
      </c>
      <c r="E38" s="1" t="s">
        <v>14</v>
      </c>
      <c r="F38" s="4">
        <v>44776</v>
      </c>
      <c r="G38" s="1" t="s">
        <v>756</v>
      </c>
      <c r="H38" s="2" t="s">
        <v>170</v>
      </c>
      <c r="I38" t="s">
        <v>43</v>
      </c>
      <c r="J38" t="s">
        <v>762</v>
      </c>
    </row>
    <row r="39" spans="1:10" x14ac:dyDescent="0.35">
      <c r="A39" s="1" t="s">
        <v>171</v>
      </c>
      <c r="B39" s="1" t="s">
        <v>172</v>
      </c>
      <c r="C39" s="1" t="s">
        <v>173</v>
      </c>
      <c r="D39" s="1" t="s">
        <v>88</v>
      </c>
      <c r="E39" s="1" t="s">
        <v>22</v>
      </c>
      <c r="F39" s="4">
        <v>44776</v>
      </c>
      <c r="G39" s="1" t="s">
        <v>756</v>
      </c>
      <c r="H39" s="2">
        <v>2100</v>
      </c>
      <c r="I39" t="s">
        <v>43</v>
      </c>
      <c r="J39" t="s">
        <v>762</v>
      </c>
    </row>
    <row r="40" spans="1:10" x14ac:dyDescent="0.35">
      <c r="A40" s="1" t="s">
        <v>174</v>
      </c>
      <c r="B40" s="1" t="s">
        <v>175</v>
      </c>
      <c r="C40" s="1" t="s">
        <v>176</v>
      </c>
      <c r="D40" s="1" t="s">
        <v>177</v>
      </c>
      <c r="E40" s="1" t="s">
        <v>14</v>
      </c>
      <c r="F40" s="4">
        <v>44816</v>
      </c>
      <c r="G40" s="1" t="s">
        <v>757</v>
      </c>
      <c r="H40" s="2" t="s">
        <v>178</v>
      </c>
      <c r="I40" t="s">
        <v>55</v>
      </c>
      <c r="J40" t="s">
        <v>748</v>
      </c>
    </row>
    <row r="41" spans="1:10" x14ac:dyDescent="0.35">
      <c r="A41" s="1" t="s">
        <v>179</v>
      </c>
      <c r="B41" s="1" t="s">
        <v>180</v>
      </c>
      <c r="C41" s="1" t="s">
        <v>181</v>
      </c>
      <c r="D41" s="1" t="s">
        <v>182</v>
      </c>
      <c r="E41" s="1" t="s">
        <v>22</v>
      </c>
      <c r="F41" s="4">
        <v>44816</v>
      </c>
      <c r="G41" s="1" t="s">
        <v>757</v>
      </c>
      <c r="H41" s="2" t="s">
        <v>745</v>
      </c>
      <c r="I41" t="s">
        <v>55</v>
      </c>
      <c r="J41" t="s">
        <v>748</v>
      </c>
    </row>
    <row r="42" spans="1:10" x14ac:dyDescent="0.35">
      <c r="A42" s="1" t="s">
        <v>183</v>
      </c>
      <c r="B42" s="1" t="s">
        <v>184</v>
      </c>
      <c r="C42" s="1" t="s">
        <v>185</v>
      </c>
      <c r="D42" s="1" t="s">
        <v>53</v>
      </c>
      <c r="E42" s="1" t="s">
        <v>14</v>
      </c>
      <c r="F42" s="4">
        <v>44835</v>
      </c>
      <c r="G42" s="1" t="s">
        <v>755</v>
      </c>
      <c r="H42" s="2">
        <v>1250</v>
      </c>
      <c r="I42" t="s">
        <v>15</v>
      </c>
      <c r="J42" t="s">
        <v>759</v>
      </c>
    </row>
    <row r="43" spans="1:10" x14ac:dyDescent="0.35">
      <c r="A43" s="1" t="s">
        <v>186</v>
      </c>
      <c r="B43" s="1" t="s">
        <v>187</v>
      </c>
      <c r="C43" s="1" t="s">
        <v>188</v>
      </c>
      <c r="D43" s="1" t="s">
        <v>189</v>
      </c>
      <c r="E43" s="1" t="s">
        <v>22</v>
      </c>
      <c r="F43" s="4">
        <v>44835</v>
      </c>
      <c r="G43" s="1" t="s">
        <v>755</v>
      </c>
      <c r="H43" s="2" t="s">
        <v>190</v>
      </c>
      <c r="I43" t="s">
        <v>15</v>
      </c>
      <c r="J43" t="s">
        <v>759</v>
      </c>
    </row>
    <row r="44" spans="1:10" x14ac:dyDescent="0.35">
      <c r="A44" s="1" t="s">
        <v>191</v>
      </c>
      <c r="B44" s="1" t="s">
        <v>192</v>
      </c>
      <c r="C44" s="1" t="s">
        <v>193</v>
      </c>
      <c r="D44" s="1" t="s">
        <v>97</v>
      </c>
      <c r="E44" s="1" t="s">
        <v>14</v>
      </c>
      <c r="F44" s="4">
        <v>44822</v>
      </c>
      <c r="G44" s="1" t="s">
        <v>758</v>
      </c>
      <c r="H44" s="2" t="s">
        <v>194</v>
      </c>
      <c r="I44" t="s">
        <v>24</v>
      </c>
      <c r="J44" t="s">
        <v>761</v>
      </c>
    </row>
    <row r="45" spans="1:10" x14ac:dyDescent="0.35">
      <c r="A45" s="1" t="s">
        <v>195</v>
      </c>
      <c r="B45" s="1" t="s">
        <v>196</v>
      </c>
      <c r="C45" s="1" t="s">
        <v>197</v>
      </c>
      <c r="D45" s="1" t="s">
        <v>63</v>
      </c>
      <c r="E45" s="1" t="s">
        <v>22</v>
      </c>
      <c r="F45" s="4">
        <v>44822</v>
      </c>
      <c r="G45" s="1" t="s">
        <v>758</v>
      </c>
      <c r="H45" s="2">
        <v>880</v>
      </c>
      <c r="I45" t="s">
        <v>24</v>
      </c>
      <c r="J45" t="s">
        <v>761</v>
      </c>
    </row>
    <row r="46" spans="1:10" x14ac:dyDescent="0.35">
      <c r="A46" s="1" t="s">
        <v>198</v>
      </c>
      <c r="B46" s="1" t="s">
        <v>199</v>
      </c>
      <c r="C46" s="1" t="s">
        <v>200</v>
      </c>
      <c r="D46" s="1" t="s">
        <v>201</v>
      </c>
      <c r="E46" s="1" t="s">
        <v>14</v>
      </c>
      <c r="F46" s="4">
        <v>44800</v>
      </c>
      <c r="G46" s="1" t="s">
        <v>32</v>
      </c>
      <c r="H46" s="2" t="s">
        <v>202</v>
      </c>
      <c r="I46" t="s">
        <v>34</v>
      </c>
      <c r="J46" t="s">
        <v>760</v>
      </c>
    </row>
    <row r="47" spans="1:10" x14ac:dyDescent="0.35">
      <c r="A47" s="1" t="s">
        <v>203</v>
      </c>
      <c r="B47" s="1" t="s">
        <v>204</v>
      </c>
      <c r="C47" s="1" t="s">
        <v>205</v>
      </c>
      <c r="D47" s="1" t="s">
        <v>177</v>
      </c>
      <c r="E47" s="1" t="s">
        <v>22</v>
      </c>
      <c r="F47" s="4">
        <v>44800</v>
      </c>
      <c r="G47" s="1" t="s">
        <v>32</v>
      </c>
      <c r="H47" s="2">
        <v>275</v>
      </c>
      <c r="I47" t="s">
        <v>34</v>
      </c>
      <c r="J47" t="s">
        <v>760</v>
      </c>
    </row>
    <row r="48" spans="1:10" x14ac:dyDescent="0.35">
      <c r="A48" s="1" t="s">
        <v>206</v>
      </c>
      <c r="B48" s="1" t="s">
        <v>207</v>
      </c>
      <c r="C48" s="1" t="s">
        <v>208</v>
      </c>
      <c r="D48" s="1" t="s">
        <v>21</v>
      </c>
      <c r="E48" s="1" t="s">
        <v>14</v>
      </c>
      <c r="F48" s="4">
        <v>44761</v>
      </c>
      <c r="G48" s="1" t="s">
        <v>756</v>
      </c>
      <c r="H48" s="2" t="s">
        <v>209</v>
      </c>
      <c r="I48" t="s">
        <v>43</v>
      </c>
      <c r="J48" t="s">
        <v>762</v>
      </c>
    </row>
    <row r="49" spans="1:10" x14ac:dyDescent="0.35">
      <c r="A49" s="1" t="s">
        <v>210</v>
      </c>
      <c r="B49" s="1" t="s">
        <v>211</v>
      </c>
      <c r="C49" s="1" t="s">
        <v>212</v>
      </c>
      <c r="D49" s="1" t="s">
        <v>72</v>
      </c>
      <c r="E49" s="1" t="s">
        <v>22</v>
      </c>
      <c r="F49" s="4">
        <v>44761</v>
      </c>
      <c r="G49" s="1" t="s">
        <v>756</v>
      </c>
      <c r="H49" s="2">
        <v>1950</v>
      </c>
      <c r="I49" t="s">
        <v>43</v>
      </c>
      <c r="J49" t="s">
        <v>762</v>
      </c>
    </row>
    <row r="50" spans="1:10" x14ac:dyDescent="0.35">
      <c r="A50" s="1" t="s">
        <v>213</v>
      </c>
      <c r="B50" s="1" t="s">
        <v>214</v>
      </c>
      <c r="C50" s="1" t="s">
        <v>215</v>
      </c>
      <c r="D50" s="1" t="s">
        <v>182</v>
      </c>
      <c r="E50" s="1" t="s">
        <v>14</v>
      </c>
      <c r="F50" s="4">
        <v>44723</v>
      </c>
      <c r="G50" s="1" t="s">
        <v>757</v>
      </c>
      <c r="H50" s="2" t="s">
        <v>216</v>
      </c>
      <c r="I50" t="s">
        <v>55</v>
      </c>
      <c r="J50" t="s">
        <v>748</v>
      </c>
    </row>
    <row r="51" spans="1:10" x14ac:dyDescent="0.35">
      <c r="A51" s="1" t="s">
        <v>217</v>
      </c>
      <c r="B51" s="1" t="s">
        <v>218</v>
      </c>
      <c r="C51" s="1" t="s">
        <v>219</v>
      </c>
      <c r="D51" s="1" t="s">
        <v>220</v>
      </c>
      <c r="E51" s="1" t="s">
        <v>22</v>
      </c>
      <c r="F51" s="4">
        <v>44723</v>
      </c>
      <c r="G51" s="1" t="s">
        <v>757</v>
      </c>
      <c r="H51" s="2">
        <v>1700</v>
      </c>
      <c r="I51" s="1" t="s">
        <v>55</v>
      </c>
      <c r="J51" s="1" t="s">
        <v>748</v>
      </c>
    </row>
    <row r="52" spans="1:10" x14ac:dyDescent="0.35">
      <c r="A52" s="1" t="s">
        <v>221</v>
      </c>
      <c r="B52" s="1" t="s">
        <v>222</v>
      </c>
      <c r="C52" s="1" t="s">
        <v>223</v>
      </c>
      <c r="D52" s="1" t="s">
        <v>110</v>
      </c>
      <c r="E52" s="1" t="s">
        <v>14</v>
      </c>
      <c r="F52" s="4">
        <v>44684</v>
      </c>
      <c r="G52" s="1" t="s">
        <v>755</v>
      </c>
      <c r="H52" s="2" t="s">
        <v>224</v>
      </c>
      <c r="I52" t="s">
        <v>15</v>
      </c>
      <c r="J52" t="s">
        <v>759</v>
      </c>
    </row>
    <row r="53" spans="1:10" x14ac:dyDescent="0.35">
      <c r="A53" s="1" t="s">
        <v>225</v>
      </c>
      <c r="B53" s="1" t="s">
        <v>226</v>
      </c>
      <c r="C53" s="1" t="s">
        <v>227</v>
      </c>
      <c r="D53" s="1" t="s">
        <v>79</v>
      </c>
      <c r="E53" s="1" t="s">
        <v>22</v>
      </c>
      <c r="F53" s="4">
        <v>44684</v>
      </c>
      <c r="G53" s="1" t="s">
        <v>755</v>
      </c>
      <c r="H53" s="2">
        <v>820</v>
      </c>
      <c r="I53" t="s">
        <v>15</v>
      </c>
      <c r="J53" t="s">
        <v>759</v>
      </c>
    </row>
    <row r="54" spans="1:10" x14ac:dyDescent="0.35">
      <c r="A54" s="1" t="s">
        <v>228</v>
      </c>
      <c r="B54" s="1" t="s">
        <v>229</v>
      </c>
      <c r="C54" s="1" t="s">
        <v>230</v>
      </c>
      <c r="D54" s="1" t="s">
        <v>231</v>
      </c>
      <c r="E54" s="1" t="s">
        <v>14</v>
      </c>
      <c r="F54" s="4">
        <v>44673</v>
      </c>
      <c r="G54" s="1" t="s">
        <v>758</v>
      </c>
      <c r="H54" s="2" t="s">
        <v>232</v>
      </c>
      <c r="I54" t="s">
        <v>24</v>
      </c>
      <c r="J54" t="s">
        <v>761</v>
      </c>
    </row>
    <row r="55" spans="1:10" x14ac:dyDescent="0.35">
      <c r="A55" s="1" t="s">
        <v>233</v>
      </c>
      <c r="B55" s="1" t="s">
        <v>234</v>
      </c>
      <c r="C55" s="1" t="s">
        <v>235</v>
      </c>
      <c r="D55" s="1" t="s">
        <v>68</v>
      </c>
      <c r="E55" s="1" t="s">
        <v>22</v>
      </c>
      <c r="F55" s="4">
        <v>44673</v>
      </c>
      <c r="G55" s="1" t="s">
        <v>758</v>
      </c>
      <c r="H55" s="2" t="s">
        <v>236</v>
      </c>
      <c r="I55" t="s">
        <v>24</v>
      </c>
      <c r="J55" t="s">
        <v>761</v>
      </c>
    </row>
    <row r="56" spans="1:10" x14ac:dyDescent="0.35">
      <c r="A56" s="1" t="s">
        <v>237</v>
      </c>
      <c r="B56" s="1" t="s">
        <v>238</v>
      </c>
      <c r="C56" s="1" t="s">
        <v>239</v>
      </c>
      <c r="D56" s="1" t="s">
        <v>63</v>
      </c>
      <c r="E56" s="1" t="s">
        <v>14</v>
      </c>
      <c r="F56" s="4">
        <v>44634</v>
      </c>
      <c r="G56" s="1" t="s">
        <v>32</v>
      </c>
      <c r="H56" s="2" t="s">
        <v>240</v>
      </c>
      <c r="I56" t="s">
        <v>34</v>
      </c>
      <c r="J56" t="s">
        <v>760</v>
      </c>
    </row>
    <row r="57" spans="1:10" x14ac:dyDescent="0.35">
      <c r="A57" s="1" t="s">
        <v>241</v>
      </c>
      <c r="B57" s="1" t="s">
        <v>242</v>
      </c>
      <c r="C57" s="1" t="s">
        <v>243</v>
      </c>
      <c r="D57" s="1" t="s">
        <v>244</v>
      </c>
      <c r="E57" s="1" t="s">
        <v>22</v>
      </c>
      <c r="F57" s="4">
        <v>44634</v>
      </c>
      <c r="G57" s="1" t="s">
        <v>32</v>
      </c>
      <c r="H57" s="2">
        <v>480</v>
      </c>
      <c r="I57" t="s">
        <v>34</v>
      </c>
      <c r="J57" t="s">
        <v>760</v>
      </c>
    </row>
    <row r="58" spans="1:10" x14ac:dyDescent="0.35">
      <c r="A58" s="1" t="s">
        <v>245</v>
      </c>
      <c r="B58" s="1" t="s">
        <v>246</v>
      </c>
      <c r="C58" s="1" t="s">
        <v>247</v>
      </c>
      <c r="D58" s="1" t="s">
        <v>114</v>
      </c>
      <c r="E58" s="1" t="s">
        <v>14</v>
      </c>
      <c r="F58" s="4">
        <v>44601</v>
      </c>
      <c r="G58" s="1" t="s">
        <v>756</v>
      </c>
      <c r="H58" s="2" t="s">
        <v>248</v>
      </c>
      <c r="I58" t="s">
        <v>43</v>
      </c>
      <c r="J58" t="s">
        <v>762</v>
      </c>
    </row>
    <row r="59" spans="1:10" x14ac:dyDescent="0.35">
      <c r="A59" s="1" t="s">
        <v>249</v>
      </c>
      <c r="B59" s="1" t="s">
        <v>250</v>
      </c>
      <c r="C59" s="1" t="s">
        <v>251</v>
      </c>
      <c r="D59" s="1" t="s">
        <v>252</v>
      </c>
      <c r="E59" s="1" t="s">
        <v>22</v>
      </c>
      <c r="F59" s="4">
        <v>44601</v>
      </c>
      <c r="G59" s="1" t="s">
        <v>756</v>
      </c>
      <c r="H59" s="2">
        <v>2200</v>
      </c>
      <c r="I59" t="s">
        <v>43</v>
      </c>
      <c r="J59" t="s">
        <v>762</v>
      </c>
    </row>
    <row r="60" spans="1:10" x14ac:dyDescent="0.35">
      <c r="A60" s="1" t="s">
        <v>253</v>
      </c>
      <c r="B60" s="1" t="s">
        <v>254</v>
      </c>
      <c r="C60" s="1" t="s">
        <v>255</v>
      </c>
      <c r="D60" s="1" t="s">
        <v>126</v>
      </c>
      <c r="E60" s="1" t="s">
        <v>14</v>
      </c>
      <c r="F60" s="4">
        <v>44589</v>
      </c>
      <c r="G60" s="1" t="s">
        <v>757</v>
      </c>
      <c r="H60" s="2" t="s">
        <v>256</v>
      </c>
      <c r="I60" t="s">
        <v>55</v>
      </c>
      <c r="J60" t="s">
        <v>748</v>
      </c>
    </row>
    <row r="61" spans="1:10" x14ac:dyDescent="0.35">
      <c r="A61" s="1" t="s">
        <v>257</v>
      </c>
      <c r="B61" s="1" t="s">
        <v>258</v>
      </c>
      <c r="C61" s="1" t="s">
        <v>259</v>
      </c>
      <c r="D61" s="1" t="s">
        <v>102</v>
      </c>
      <c r="E61" s="1" t="s">
        <v>22</v>
      </c>
      <c r="F61" s="4">
        <v>44589</v>
      </c>
      <c r="G61" s="1" t="s">
        <v>757</v>
      </c>
      <c r="H61" s="2">
        <v>1550</v>
      </c>
      <c r="I61" t="s">
        <v>55</v>
      </c>
      <c r="J61" t="s">
        <v>748</v>
      </c>
    </row>
    <row r="62" spans="1:10" x14ac:dyDescent="0.35">
      <c r="A62" s="1" t="s">
        <v>260</v>
      </c>
      <c r="B62" s="1" t="s">
        <v>261</v>
      </c>
      <c r="C62" s="1" t="s">
        <v>262</v>
      </c>
      <c r="D62" s="1" t="s">
        <v>263</v>
      </c>
      <c r="E62" s="1" t="s">
        <v>14</v>
      </c>
      <c r="F62" s="4">
        <v>44898</v>
      </c>
      <c r="G62" s="1" t="s">
        <v>755</v>
      </c>
      <c r="H62" s="2">
        <v>1280</v>
      </c>
      <c r="I62" t="s">
        <v>15</v>
      </c>
      <c r="J62" t="s">
        <v>759</v>
      </c>
    </row>
    <row r="63" spans="1:10" x14ac:dyDescent="0.35">
      <c r="A63" s="1" t="s">
        <v>264</v>
      </c>
      <c r="B63" s="1" t="s">
        <v>265</v>
      </c>
      <c r="C63" s="1" t="s">
        <v>266</v>
      </c>
      <c r="D63" s="1" t="s">
        <v>77</v>
      </c>
      <c r="E63" s="1" t="s">
        <v>22</v>
      </c>
      <c r="F63" s="4">
        <v>44898</v>
      </c>
      <c r="G63" s="1" t="s">
        <v>755</v>
      </c>
      <c r="H63" s="2" t="s">
        <v>267</v>
      </c>
      <c r="I63" t="s">
        <v>15</v>
      </c>
      <c r="J63" t="s">
        <v>759</v>
      </c>
    </row>
    <row r="64" spans="1:10" x14ac:dyDescent="0.35">
      <c r="A64" s="1" t="s">
        <v>268</v>
      </c>
      <c r="B64" s="1" t="s">
        <v>269</v>
      </c>
      <c r="C64" s="1" t="s">
        <v>270</v>
      </c>
      <c r="D64" s="1" t="s">
        <v>220</v>
      </c>
      <c r="E64" s="1" t="s">
        <v>14</v>
      </c>
      <c r="F64" s="4">
        <v>44882</v>
      </c>
      <c r="G64" s="1" t="s">
        <v>758</v>
      </c>
      <c r="H64" s="2" t="s">
        <v>271</v>
      </c>
      <c r="I64" t="s">
        <v>24</v>
      </c>
      <c r="J64" t="s">
        <v>761</v>
      </c>
    </row>
    <row r="65" spans="1:10" x14ac:dyDescent="0.35">
      <c r="A65" s="1" t="s">
        <v>272</v>
      </c>
      <c r="B65" s="1" t="s">
        <v>273</v>
      </c>
      <c r="C65" s="1" t="s">
        <v>274</v>
      </c>
      <c r="D65" s="1" t="s">
        <v>106</v>
      </c>
      <c r="E65" s="1" t="s">
        <v>22</v>
      </c>
      <c r="F65" s="4">
        <v>44882</v>
      </c>
      <c r="G65" s="1" t="s">
        <v>758</v>
      </c>
      <c r="H65" s="2">
        <v>910</v>
      </c>
      <c r="I65" t="s">
        <v>24</v>
      </c>
      <c r="J65" t="s">
        <v>761</v>
      </c>
    </row>
    <row r="66" spans="1:10" x14ac:dyDescent="0.35">
      <c r="A66" s="1" t="s">
        <v>275</v>
      </c>
      <c r="B66" s="1" t="s">
        <v>276</v>
      </c>
      <c r="C66" s="1" t="s">
        <v>277</v>
      </c>
      <c r="D66" s="1" t="s">
        <v>278</v>
      </c>
      <c r="E66" s="1" t="s">
        <v>14</v>
      </c>
      <c r="F66" s="4">
        <v>44863</v>
      </c>
      <c r="G66" s="1" t="s">
        <v>32</v>
      </c>
      <c r="H66" s="2" t="s">
        <v>279</v>
      </c>
      <c r="I66" t="s">
        <v>34</v>
      </c>
      <c r="J66" t="s">
        <v>760</v>
      </c>
    </row>
    <row r="67" spans="1:10" x14ac:dyDescent="0.35">
      <c r="A67" s="1" t="s">
        <v>280</v>
      </c>
      <c r="B67" s="1" t="s">
        <v>281</v>
      </c>
      <c r="C67" s="1" t="s">
        <v>282</v>
      </c>
      <c r="D67" s="1" t="s">
        <v>38</v>
      </c>
      <c r="E67" s="1" t="s">
        <v>22</v>
      </c>
      <c r="F67" s="4">
        <v>44863</v>
      </c>
      <c r="G67" s="1" t="s">
        <v>32</v>
      </c>
      <c r="H67" s="2">
        <v>260</v>
      </c>
      <c r="I67" t="s">
        <v>34</v>
      </c>
      <c r="J67" t="s">
        <v>760</v>
      </c>
    </row>
    <row r="68" spans="1:10" x14ac:dyDescent="0.35">
      <c r="A68" s="1" t="s">
        <v>283</v>
      </c>
      <c r="B68" s="1" t="s">
        <v>284</v>
      </c>
      <c r="C68" s="1" t="s">
        <v>285</v>
      </c>
      <c r="D68" s="1" t="s">
        <v>244</v>
      </c>
      <c r="E68" s="1" t="s">
        <v>14</v>
      </c>
      <c r="F68" s="4">
        <v>44812</v>
      </c>
      <c r="G68" s="1" t="s">
        <v>756</v>
      </c>
      <c r="H68" s="2" t="s">
        <v>286</v>
      </c>
      <c r="I68" t="s">
        <v>43</v>
      </c>
      <c r="J68" t="s">
        <v>762</v>
      </c>
    </row>
    <row r="69" spans="1:10" x14ac:dyDescent="0.35">
      <c r="A69" s="1" t="s">
        <v>287</v>
      </c>
      <c r="B69" s="1" t="s">
        <v>288</v>
      </c>
      <c r="C69" s="1" t="s">
        <v>289</v>
      </c>
      <c r="D69" s="1" t="s">
        <v>21</v>
      </c>
      <c r="E69" s="1" t="s">
        <v>22</v>
      </c>
      <c r="F69" s="4">
        <v>44812</v>
      </c>
      <c r="G69" s="1" t="s">
        <v>756</v>
      </c>
      <c r="H69" s="2">
        <v>1850</v>
      </c>
      <c r="I69" t="s">
        <v>43</v>
      </c>
      <c r="J69" t="s">
        <v>762</v>
      </c>
    </row>
    <row r="70" spans="1:10" x14ac:dyDescent="0.35">
      <c r="A70" s="1" t="s">
        <v>290</v>
      </c>
      <c r="B70" s="1" t="s">
        <v>291</v>
      </c>
      <c r="C70" s="1" t="s">
        <v>292</v>
      </c>
      <c r="D70" s="1" t="s">
        <v>68</v>
      </c>
      <c r="E70" s="1" t="s">
        <v>22</v>
      </c>
      <c r="F70" s="4">
        <v>44787</v>
      </c>
      <c r="G70" s="1" t="s">
        <v>757</v>
      </c>
      <c r="H70" s="2" t="s">
        <v>293</v>
      </c>
      <c r="I70" t="s">
        <v>55</v>
      </c>
      <c r="J70" t="s">
        <v>748</v>
      </c>
    </row>
    <row r="71" spans="1:10" x14ac:dyDescent="0.35">
      <c r="A71" s="1" t="s">
        <v>294</v>
      </c>
      <c r="B71" s="1" t="s">
        <v>295</v>
      </c>
      <c r="C71" s="1" t="s">
        <v>296</v>
      </c>
      <c r="D71" s="1" t="s">
        <v>28</v>
      </c>
      <c r="E71" s="1" t="s">
        <v>14</v>
      </c>
      <c r="F71" s="4">
        <v>44787</v>
      </c>
      <c r="G71" s="1" t="s">
        <v>757</v>
      </c>
      <c r="H71" s="2">
        <v>1650</v>
      </c>
      <c r="I71" t="s">
        <v>55</v>
      </c>
      <c r="J71" t="s">
        <v>748</v>
      </c>
    </row>
    <row r="72" spans="1:10" x14ac:dyDescent="0.35">
      <c r="A72" s="1" t="s">
        <v>297</v>
      </c>
      <c r="B72" s="1" t="s">
        <v>298</v>
      </c>
      <c r="C72" s="1" t="s">
        <v>299</v>
      </c>
      <c r="D72" s="1" t="s">
        <v>53</v>
      </c>
      <c r="E72" s="1" t="s">
        <v>14</v>
      </c>
      <c r="F72" s="4">
        <v>44744</v>
      </c>
      <c r="G72" s="1" t="s">
        <v>755</v>
      </c>
      <c r="H72" s="2" t="s">
        <v>300</v>
      </c>
      <c r="I72" t="s">
        <v>15</v>
      </c>
      <c r="J72" t="s">
        <v>759</v>
      </c>
    </row>
    <row r="73" spans="1:10" x14ac:dyDescent="0.35">
      <c r="A73" s="1" t="s">
        <v>301</v>
      </c>
      <c r="B73" s="1" t="s">
        <v>302</v>
      </c>
      <c r="C73" s="1" t="s">
        <v>303</v>
      </c>
      <c r="D73" s="1" t="s">
        <v>13</v>
      </c>
      <c r="E73" s="1" t="s">
        <v>22</v>
      </c>
      <c r="F73" s="4">
        <v>44744</v>
      </c>
      <c r="G73" s="1" t="s">
        <v>755</v>
      </c>
      <c r="H73" s="2">
        <v>830</v>
      </c>
      <c r="I73" t="s">
        <v>15</v>
      </c>
      <c r="J73" t="s">
        <v>759</v>
      </c>
    </row>
    <row r="74" spans="1:10" x14ac:dyDescent="0.35">
      <c r="A74" s="1" t="s">
        <v>304</v>
      </c>
      <c r="B74" s="1" t="s">
        <v>305</v>
      </c>
      <c r="C74" s="1" t="s">
        <v>306</v>
      </c>
      <c r="D74" s="1" t="s">
        <v>83</v>
      </c>
      <c r="E74" s="1" t="s">
        <v>14</v>
      </c>
      <c r="F74" s="4">
        <v>44731</v>
      </c>
      <c r="G74" s="1" t="s">
        <v>758</v>
      </c>
      <c r="H74" s="2" t="s">
        <v>307</v>
      </c>
      <c r="I74" t="s">
        <v>24</v>
      </c>
      <c r="J74" t="s">
        <v>761</v>
      </c>
    </row>
    <row r="75" spans="1:10" x14ac:dyDescent="0.35">
      <c r="A75" s="1" t="s">
        <v>308</v>
      </c>
      <c r="B75" s="1" t="s">
        <v>309</v>
      </c>
      <c r="C75" s="1" t="s">
        <v>310</v>
      </c>
      <c r="D75" s="1" t="s">
        <v>126</v>
      </c>
      <c r="E75" s="1" t="s">
        <v>22</v>
      </c>
      <c r="F75" s="4">
        <v>44731</v>
      </c>
      <c r="G75" s="1" t="s">
        <v>758</v>
      </c>
      <c r="H75" s="2" t="s">
        <v>311</v>
      </c>
      <c r="I75" t="s">
        <v>24</v>
      </c>
      <c r="J75" t="s">
        <v>761</v>
      </c>
    </row>
    <row r="76" spans="1:10" x14ac:dyDescent="0.35">
      <c r="A76" s="1" t="s">
        <v>312</v>
      </c>
      <c r="B76" s="1" t="s">
        <v>313</v>
      </c>
      <c r="C76" s="1" t="s">
        <v>314</v>
      </c>
      <c r="D76" s="1" t="s">
        <v>189</v>
      </c>
      <c r="E76" s="1" t="s">
        <v>14</v>
      </c>
      <c r="F76" s="4">
        <v>44692</v>
      </c>
      <c r="G76" s="1" t="s">
        <v>32</v>
      </c>
      <c r="H76" s="2" t="s">
        <v>315</v>
      </c>
      <c r="I76" t="s">
        <v>34</v>
      </c>
      <c r="J76" t="s">
        <v>760</v>
      </c>
    </row>
    <row r="77" spans="1:10" x14ac:dyDescent="0.35">
      <c r="A77" s="1" t="s">
        <v>316</v>
      </c>
      <c r="B77" s="1" t="s">
        <v>317</v>
      </c>
      <c r="C77" s="1" t="s">
        <v>318</v>
      </c>
      <c r="D77" s="1" t="s">
        <v>63</v>
      </c>
      <c r="E77" s="1" t="s">
        <v>22</v>
      </c>
      <c r="F77" s="4">
        <v>44692</v>
      </c>
      <c r="G77" s="1" t="s">
        <v>32</v>
      </c>
      <c r="H77" s="2">
        <v>490</v>
      </c>
      <c r="I77" t="s">
        <v>34</v>
      </c>
      <c r="J77" t="s">
        <v>760</v>
      </c>
    </row>
    <row r="78" spans="1:10" x14ac:dyDescent="0.35">
      <c r="A78" s="1" t="s">
        <v>319</v>
      </c>
      <c r="B78" s="1" t="s">
        <v>320</v>
      </c>
      <c r="C78" s="1" t="s">
        <v>321</v>
      </c>
      <c r="D78" s="1" t="s">
        <v>88</v>
      </c>
      <c r="E78" s="1" t="s">
        <v>14</v>
      </c>
      <c r="F78" s="4">
        <v>44657</v>
      </c>
      <c r="G78" s="1" t="s">
        <v>756</v>
      </c>
      <c r="H78" s="2" t="s">
        <v>322</v>
      </c>
      <c r="I78" t="s">
        <v>43</v>
      </c>
      <c r="J78" t="s">
        <v>762</v>
      </c>
    </row>
    <row r="79" spans="1:10" x14ac:dyDescent="0.35">
      <c r="A79" s="1" t="s">
        <v>323</v>
      </c>
      <c r="B79" s="1" t="s">
        <v>324</v>
      </c>
      <c r="C79" s="1" t="s">
        <v>325</v>
      </c>
      <c r="D79" s="1" t="s">
        <v>114</v>
      </c>
      <c r="E79" s="1" t="s">
        <v>22</v>
      </c>
      <c r="F79" s="4">
        <v>44657</v>
      </c>
      <c r="G79" s="1" t="s">
        <v>756</v>
      </c>
      <c r="H79" s="2">
        <v>2300</v>
      </c>
      <c r="I79" t="s">
        <v>746</v>
      </c>
      <c r="J79" t="s">
        <v>762</v>
      </c>
    </row>
    <row r="80" spans="1:10" x14ac:dyDescent="0.35">
      <c r="A80" s="1" t="s">
        <v>326</v>
      </c>
      <c r="B80" s="1" t="s">
        <v>327</v>
      </c>
      <c r="C80" s="1" t="s">
        <v>328</v>
      </c>
      <c r="D80" s="1" t="s">
        <v>201</v>
      </c>
      <c r="E80" s="1" t="s">
        <v>14</v>
      </c>
      <c r="F80" s="4">
        <v>44645</v>
      </c>
      <c r="G80" s="1" t="s">
        <v>757</v>
      </c>
      <c r="H80" s="2" t="s">
        <v>329</v>
      </c>
      <c r="I80" t="s">
        <v>55</v>
      </c>
      <c r="J80" t="s">
        <v>748</v>
      </c>
    </row>
    <row r="81" spans="1:10" x14ac:dyDescent="0.35">
      <c r="A81" s="1" t="s">
        <v>330</v>
      </c>
      <c r="B81" s="1" t="s">
        <v>331</v>
      </c>
      <c r="C81" s="1" t="s">
        <v>332</v>
      </c>
      <c r="D81" s="1" t="s">
        <v>177</v>
      </c>
      <c r="E81" s="1" t="s">
        <v>22</v>
      </c>
      <c r="F81" s="4">
        <v>44645</v>
      </c>
      <c r="G81" s="1" t="s">
        <v>757</v>
      </c>
      <c r="H81" s="2">
        <v>1450</v>
      </c>
      <c r="I81" t="s">
        <v>55</v>
      </c>
      <c r="J81" t="s">
        <v>748</v>
      </c>
    </row>
    <row r="82" spans="1:10" x14ac:dyDescent="0.35">
      <c r="A82" s="1" t="s">
        <v>333</v>
      </c>
      <c r="B82" s="1" t="s">
        <v>334</v>
      </c>
      <c r="C82" s="1" t="s">
        <v>335</v>
      </c>
      <c r="D82" s="1" t="s">
        <v>93</v>
      </c>
      <c r="E82" s="1" t="s">
        <v>14</v>
      </c>
      <c r="F82" s="4">
        <v>44606</v>
      </c>
      <c r="G82" s="1" t="s">
        <v>755</v>
      </c>
      <c r="H82" s="2">
        <v>1310</v>
      </c>
      <c r="I82" t="s">
        <v>15</v>
      </c>
      <c r="J82" t="s">
        <v>759</v>
      </c>
    </row>
    <row r="83" spans="1:10" x14ac:dyDescent="0.35">
      <c r="A83" s="1" t="s">
        <v>336</v>
      </c>
      <c r="B83" s="1" t="s">
        <v>337</v>
      </c>
      <c r="C83" s="1" t="s">
        <v>338</v>
      </c>
      <c r="D83" s="1" t="s">
        <v>77</v>
      </c>
      <c r="E83" s="1" t="s">
        <v>22</v>
      </c>
      <c r="F83" s="4">
        <v>44606</v>
      </c>
      <c r="G83" s="1" t="s">
        <v>755</v>
      </c>
      <c r="H83" s="2" t="s">
        <v>339</v>
      </c>
      <c r="I83" t="s">
        <v>15</v>
      </c>
      <c r="J83" t="s">
        <v>759</v>
      </c>
    </row>
    <row r="84" spans="1:10" x14ac:dyDescent="0.35">
      <c r="A84" s="1" t="s">
        <v>340</v>
      </c>
      <c r="B84" s="1" t="s">
        <v>341</v>
      </c>
      <c r="C84" s="1" t="s">
        <v>342</v>
      </c>
      <c r="D84" s="1" t="s">
        <v>97</v>
      </c>
      <c r="E84" s="1" t="s">
        <v>14</v>
      </c>
      <c r="F84" s="4">
        <v>44648</v>
      </c>
      <c r="G84" s="1" t="s">
        <v>758</v>
      </c>
      <c r="H84" s="2" t="s">
        <v>343</v>
      </c>
      <c r="I84" t="s">
        <v>24</v>
      </c>
      <c r="J84" t="s">
        <v>761</v>
      </c>
    </row>
    <row r="85" spans="1:10" x14ac:dyDescent="0.35">
      <c r="A85" s="1" t="s">
        <v>344</v>
      </c>
      <c r="B85" s="1" t="s">
        <v>345</v>
      </c>
      <c r="C85" s="1" t="s">
        <v>346</v>
      </c>
      <c r="D85" s="1" t="s">
        <v>63</v>
      </c>
      <c r="E85" s="1" t="s">
        <v>22</v>
      </c>
      <c r="F85" s="4">
        <v>44648</v>
      </c>
      <c r="G85" s="1" t="s">
        <v>758</v>
      </c>
      <c r="H85" s="2">
        <v>920</v>
      </c>
      <c r="I85" t="s">
        <v>24</v>
      </c>
      <c r="J85" t="s">
        <v>761</v>
      </c>
    </row>
    <row r="86" spans="1:10" x14ac:dyDescent="0.35">
      <c r="A86" s="1" t="s">
        <v>347</v>
      </c>
      <c r="B86" s="1" t="s">
        <v>348</v>
      </c>
      <c r="C86" s="1" t="s">
        <v>349</v>
      </c>
      <c r="D86" s="1" t="s">
        <v>83</v>
      </c>
      <c r="E86" s="1" t="s">
        <v>14</v>
      </c>
      <c r="F86" s="4">
        <v>44668</v>
      </c>
      <c r="G86" s="1" t="s">
        <v>32</v>
      </c>
      <c r="H86" s="2" t="s">
        <v>350</v>
      </c>
      <c r="I86" t="s">
        <v>34</v>
      </c>
      <c r="J86" t="s">
        <v>760</v>
      </c>
    </row>
    <row r="87" spans="1:10" x14ac:dyDescent="0.35">
      <c r="A87" s="1" t="s">
        <v>351</v>
      </c>
      <c r="B87" s="1" t="s">
        <v>352</v>
      </c>
      <c r="C87" s="1" t="s">
        <v>353</v>
      </c>
      <c r="D87" s="1" t="s">
        <v>231</v>
      </c>
      <c r="E87" s="1" t="s">
        <v>22</v>
      </c>
      <c r="F87" s="4">
        <v>44668</v>
      </c>
      <c r="G87" s="1" t="s">
        <v>32</v>
      </c>
      <c r="H87" s="2">
        <v>265</v>
      </c>
      <c r="I87" t="s">
        <v>34</v>
      </c>
      <c r="J87" t="s">
        <v>760</v>
      </c>
    </row>
    <row r="88" spans="1:10" x14ac:dyDescent="0.35">
      <c r="A88" s="1" t="s">
        <v>354</v>
      </c>
      <c r="B88" s="1" t="s">
        <v>355</v>
      </c>
      <c r="C88" s="1" t="s">
        <v>356</v>
      </c>
      <c r="D88" s="1" t="s">
        <v>79</v>
      </c>
      <c r="E88" s="1" t="s">
        <v>22</v>
      </c>
      <c r="F88" s="4">
        <v>44690</v>
      </c>
      <c r="G88" s="1" t="s">
        <v>756</v>
      </c>
      <c r="H88" s="2" t="s">
        <v>357</v>
      </c>
      <c r="I88" t="s">
        <v>43</v>
      </c>
      <c r="J88" t="s">
        <v>762</v>
      </c>
    </row>
    <row r="89" spans="1:10" x14ac:dyDescent="0.35">
      <c r="A89" s="1" t="s">
        <v>358</v>
      </c>
      <c r="B89" s="1" t="s">
        <v>359</v>
      </c>
      <c r="C89" s="1" t="s">
        <v>360</v>
      </c>
      <c r="D89" s="1" t="s">
        <v>21</v>
      </c>
      <c r="E89" s="1" t="s">
        <v>14</v>
      </c>
      <c r="F89" s="4">
        <v>44690</v>
      </c>
      <c r="G89" s="1" t="s">
        <v>756</v>
      </c>
      <c r="H89" s="2">
        <v>1900</v>
      </c>
      <c r="I89" t="s">
        <v>43</v>
      </c>
      <c r="J89" t="s">
        <v>762</v>
      </c>
    </row>
    <row r="90" spans="1:10" x14ac:dyDescent="0.35">
      <c r="A90" s="1" t="s">
        <v>361</v>
      </c>
      <c r="B90" s="1" t="s">
        <v>362</v>
      </c>
      <c r="C90" s="1" t="s">
        <v>363</v>
      </c>
      <c r="D90" s="1" t="s">
        <v>102</v>
      </c>
      <c r="E90" s="1" t="s">
        <v>14</v>
      </c>
      <c r="F90" s="4">
        <v>44735</v>
      </c>
      <c r="G90" s="1" t="s">
        <v>757</v>
      </c>
      <c r="H90" s="2" t="s">
        <v>364</v>
      </c>
      <c r="I90" t="s">
        <v>55</v>
      </c>
      <c r="J90" t="s">
        <v>748</v>
      </c>
    </row>
    <row r="91" spans="1:10" x14ac:dyDescent="0.35">
      <c r="A91" s="1" t="s">
        <v>365</v>
      </c>
      <c r="B91" s="1" t="s">
        <v>366</v>
      </c>
      <c r="C91" s="1" t="s">
        <v>367</v>
      </c>
      <c r="D91" s="1" t="s">
        <v>182</v>
      </c>
      <c r="E91" s="1" t="s">
        <v>22</v>
      </c>
      <c r="F91" s="4">
        <v>44735</v>
      </c>
      <c r="G91" s="1" t="s">
        <v>757</v>
      </c>
      <c r="H91" s="2">
        <v>1680</v>
      </c>
      <c r="I91" t="s">
        <v>55</v>
      </c>
      <c r="J91" t="s">
        <v>748</v>
      </c>
    </row>
    <row r="92" spans="1:10" x14ac:dyDescent="0.35">
      <c r="A92" s="1" t="s">
        <v>368</v>
      </c>
      <c r="B92" s="1" t="s">
        <v>369</v>
      </c>
      <c r="C92" s="1" t="s">
        <v>370</v>
      </c>
      <c r="D92" s="1" t="s">
        <v>110</v>
      </c>
      <c r="E92" s="1" t="s">
        <v>14</v>
      </c>
      <c r="F92" s="4">
        <v>44757</v>
      </c>
      <c r="G92" s="1" t="s">
        <v>755</v>
      </c>
      <c r="H92" s="2" t="s">
        <v>371</v>
      </c>
      <c r="I92" t="s">
        <v>15</v>
      </c>
      <c r="J92" t="s">
        <v>759</v>
      </c>
    </row>
    <row r="93" spans="1:10" x14ac:dyDescent="0.35">
      <c r="A93" s="1" t="s">
        <v>372</v>
      </c>
      <c r="B93" s="1" t="s">
        <v>373</v>
      </c>
      <c r="C93" s="1" t="s">
        <v>374</v>
      </c>
      <c r="D93" s="1" t="s">
        <v>13</v>
      </c>
      <c r="E93" s="1" t="s">
        <v>22</v>
      </c>
      <c r="F93" s="4">
        <v>44757</v>
      </c>
      <c r="G93" s="1" t="s">
        <v>755</v>
      </c>
      <c r="H93" s="2">
        <v>840</v>
      </c>
      <c r="I93" t="s">
        <v>15</v>
      </c>
      <c r="J93" t="s">
        <v>759</v>
      </c>
    </row>
    <row r="94" spans="1:10" x14ac:dyDescent="0.35">
      <c r="A94" s="1" t="s">
        <v>375</v>
      </c>
      <c r="B94" s="1" t="s">
        <v>376</v>
      </c>
      <c r="C94" s="1" t="s">
        <v>377</v>
      </c>
      <c r="D94" s="1" t="s">
        <v>378</v>
      </c>
      <c r="E94" s="1" t="s">
        <v>14</v>
      </c>
      <c r="F94" s="4">
        <v>44777</v>
      </c>
      <c r="G94" s="1" t="s">
        <v>758</v>
      </c>
      <c r="H94" s="2" t="s">
        <v>155</v>
      </c>
      <c r="I94" t="s">
        <v>24</v>
      </c>
      <c r="J94" t="s">
        <v>761</v>
      </c>
    </row>
    <row r="95" spans="1:10" x14ac:dyDescent="0.35">
      <c r="A95" s="1" t="s">
        <v>379</v>
      </c>
      <c r="B95" s="1" t="s">
        <v>380</v>
      </c>
      <c r="C95" s="1" t="s">
        <v>381</v>
      </c>
      <c r="D95" s="1" t="s">
        <v>201</v>
      </c>
      <c r="E95" s="1" t="s">
        <v>22</v>
      </c>
      <c r="F95" s="4">
        <v>44777</v>
      </c>
      <c r="G95" s="1" t="s">
        <v>758</v>
      </c>
      <c r="H95" s="2" t="s">
        <v>159</v>
      </c>
      <c r="I95" t="s">
        <v>24</v>
      </c>
      <c r="J95" t="s">
        <v>761</v>
      </c>
    </row>
    <row r="96" spans="1:10" x14ac:dyDescent="0.35">
      <c r="A96" s="1" t="s">
        <v>382</v>
      </c>
      <c r="B96" s="1" t="s">
        <v>383</v>
      </c>
      <c r="C96" s="1" t="s">
        <v>384</v>
      </c>
      <c r="D96" s="1" t="s">
        <v>77</v>
      </c>
      <c r="E96" s="1" t="s">
        <v>14</v>
      </c>
      <c r="F96" s="4">
        <v>44825</v>
      </c>
      <c r="G96" s="1" t="s">
        <v>32</v>
      </c>
      <c r="H96" s="2" t="s">
        <v>385</v>
      </c>
      <c r="I96" t="s">
        <v>34</v>
      </c>
      <c r="J96" t="s">
        <v>760</v>
      </c>
    </row>
    <row r="97" spans="1:10" x14ac:dyDescent="0.35">
      <c r="A97" s="1" t="s">
        <v>386</v>
      </c>
      <c r="B97" s="1" t="s">
        <v>387</v>
      </c>
      <c r="C97" s="1" t="s">
        <v>388</v>
      </c>
      <c r="D97" s="1" t="s">
        <v>63</v>
      </c>
      <c r="E97" s="1" t="s">
        <v>22</v>
      </c>
      <c r="F97" s="4">
        <v>44825</v>
      </c>
      <c r="G97" s="1" t="s">
        <v>32</v>
      </c>
      <c r="H97" s="2">
        <v>495</v>
      </c>
      <c r="I97" t="s">
        <v>34</v>
      </c>
      <c r="J97" t="s">
        <v>760</v>
      </c>
    </row>
    <row r="98" spans="1:10" x14ac:dyDescent="0.35">
      <c r="A98" s="1" t="s">
        <v>389</v>
      </c>
      <c r="B98" s="1" t="s">
        <v>390</v>
      </c>
      <c r="C98" s="1" t="s">
        <v>391</v>
      </c>
      <c r="D98" s="1" t="s">
        <v>72</v>
      </c>
      <c r="E98" s="1" t="s">
        <v>14</v>
      </c>
      <c r="F98" s="4">
        <v>44842</v>
      </c>
      <c r="G98" s="1" t="s">
        <v>756</v>
      </c>
      <c r="H98" s="2" t="s">
        <v>392</v>
      </c>
      <c r="I98" t="s">
        <v>43</v>
      </c>
      <c r="J98" t="s">
        <v>762</v>
      </c>
    </row>
    <row r="99" spans="1:10" x14ac:dyDescent="0.35">
      <c r="A99" s="1" t="s">
        <v>393</v>
      </c>
      <c r="B99" s="1" t="s">
        <v>394</v>
      </c>
      <c r="C99" s="1" t="s">
        <v>395</v>
      </c>
      <c r="D99" s="1" t="s">
        <v>88</v>
      </c>
      <c r="E99" s="1" t="s">
        <v>22</v>
      </c>
      <c r="F99" s="4">
        <v>44842</v>
      </c>
      <c r="G99" s="1" t="s">
        <v>756</v>
      </c>
      <c r="H99" s="2">
        <v>2350</v>
      </c>
      <c r="I99" t="s">
        <v>43</v>
      </c>
      <c r="J99" t="s">
        <v>762</v>
      </c>
    </row>
    <row r="100" spans="1:10" x14ac:dyDescent="0.35">
      <c r="A100" s="1" t="s">
        <v>396</v>
      </c>
      <c r="B100" s="1" t="s">
        <v>397</v>
      </c>
      <c r="C100" s="1" t="s">
        <v>398</v>
      </c>
      <c r="D100" s="1" t="s">
        <v>38</v>
      </c>
      <c r="E100" s="1" t="s">
        <v>14</v>
      </c>
      <c r="F100" s="4">
        <v>44884</v>
      </c>
      <c r="G100" s="1" t="s">
        <v>757</v>
      </c>
      <c r="H100" s="2" t="s">
        <v>98</v>
      </c>
      <c r="I100" t="s">
        <v>55</v>
      </c>
      <c r="J100" t="s">
        <v>748</v>
      </c>
    </row>
    <row r="101" spans="1:10" x14ac:dyDescent="0.35">
      <c r="A101" s="1" t="s">
        <v>399</v>
      </c>
      <c r="B101" s="1" t="s">
        <v>400</v>
      </c>
      <c r="C101" s="1" t="s">
        <v>401</v>
      </c>
      <c r="D101" s="1" t="s">
        <v>177</v>
      </c>
      <c r="E101" s="1" t="s">
        <v>22</v>
      </c>
      <c r="F101" s="4">
        <v>44884</v>
      </c>
      <c r="G101" s="1" t="s">
        <v>757</v>
      </c>
      <c r="H101" s="2">
        <v>1500</v>
      </c>
      <c r="I101" t="s">
        <v>55</v>
      </c>
      <c r="J101" t="s">
        <v>748</v>
      </c>
    </row>
    <row r="102" spans="1:10" x14ac:dyDescent="0.35">
      <c r="A102" s="1" t="s">
        <v>402</v>
      </c>
      <c r="B102" s="1" t="s">
        <v>403</v>
      </c>
      <c r="C102" s="1" t="s">
        <v>404</v>
      </c>
      <c r="D102" s="1" t="s">
        <v>263</v>
      </c>
      <c r="E102" s="1" t="s">
        <v>14</v>
      </c>
      <c r="F102" s="4">
        <v>44906</v>
      </c>
      <c r="G102" s="1" t="s">
        <v>755</v>
      </c>
      <c r="H102" s="2">
        <v>1320</v>
      </c>
      <c r="I102" t="s">
        <v>15</v>
      </c>
      <c r="J102" t="s">
        <v>759</v>
      </c>
    </row>
    <row r="103" spans="1:10" x14ac:dyDescent="0.35">
      <c r="A103" s="1" t="s">
        <v>405</v>
      </c>
      <c r="B103" s="1" t="s">
        <v>406</v>
      </c>
      <c r="C103" s="1" t="s">
        <v>407</v>
      </c>
      <c r="D103" s="1" t="s">
        <v>110</v>
      </c>
      <c r="E103" s="1" t="s">
        <v>22</v>
      </c>
      <c r="F103" s="4">
        <v>44906</v>
      </c>
      <c r="G103" s="1" t="s">
        <v>755</v>
      </c>
      <c r="H103" s="2" t="s">
        <v>408</v>
      </c>
      <c r="I103" t="s">
        <v>15</v>
      </c>
      <c r="J103" t="s">
        <v>759</v>
      </c>
    </row>
    <row r="104" spans="1:10" x14ac:dyDescent="0.35">
      <c r="A104" s="1" t="s">
        <v>409</v>
      </c>
      <c r="B104" s="1" t="s">
        <v>410</v>
      </c>
      <c r="C104" s="1" t="s">
        <v>411</v>
      </c>
      <c r="D104" s="1" t="s">
        <v>28</v>
      </c>
      <c r="E104" s="1" t="s">
        <v>14</v>
      </c>
      <c r="F104" s="4">
        <v>44868</v>
      </c>
      <c r="G104" s="1" t="s">
        <v>758</v>
      </c>
      <c r="H104" s="2" t="s">
        <v>412</v>
      </c>
      <c r="I104" t="s">
        <v>24</v>
      </c>
      <c r="J104" t="s">
        <v>761</v>
      </c>
    </row>
    <row r="105" spans="1:10" x14ac:dyDescent="0.35">
      <c r="A105" s="1" t="s">
        <v>413</v>
      </c>
      <c r="B105" s="1" t="s">
        <v>414</v>
      </c>
      <c r="C105" s="1" t="s">
        <v>415</v>
      </c>
      <c r="D105" s="1" t="s">
        <v>13</v>
      </c>
      <c r="E105" s="1" t="s">
        <v>22</v>
      </c>
      <c r="F105" s="4">
        <v>44868</v>
      </c>
      <c r="G105" s="1" t="s">
        <v>758</v>
      </c>
      <c r="H105" s="2">
        <v>930</v>
      </c>
      <c r="I105" t="s">
        <v>24</v>
      </c>
      <c r="J105" t="s">
        <v>761</v>
      </c>
    </row>
    <row r="106" spans="1:10" x14ac:dyDescent="0.35">
      <c r="A106" s="1" t="s">
        <v>416</v>
      </c>
      <c r="B106" s="1" t="s">
        <v>417</v>
      </c>
      <c r="C106" s="1" t="s">
        <v>418</v>
      </c>
      <c r="D106" s="1" t="s">
        <v>378</v>
      </c>
      <c r="E106" s="1" t="s">
        <v>14</v>
      </c>
      <c r="F106" s="4">
        <v>44855</v>
      </c>
      <c r="G106" s="1" t="s">
        <v>32</v>
      </c>
      <c r="H106" s="2" t="s">
        <v>419</v>
      </c>
      <c r="I106" t="s">
        <v>34</v>
      </c>
      <c r="J106" t="s">
        <v>760</v>
      </c>
    </row>
    <row r="107" spans="1:10" x14ac:dyDescent="0.35">
      <c r="A107" s="1" t="s">
        <v>420</v>
      </c>
      <c r="B107" s="1" t="s">
        <v>421</v>
      </c>
      <c r="C107" s="1" t="s">
        <v>422</v>
      </c>
      <c r="D107" s="1" t="s">
        <v>278</v>
      </c>
      <c r="E107" s="1" t="s">
        <v>22</v>
      </c>
      <c r="F107" s="4">
        <v>44855</v>
      </c>
      <c r="G107" s="1" t="s">
        <v>32</v>
      </c>
      <c r="H107" s="2">
        <v>270</v>
      </c>
      <c r="I107" t="s">
        <v>34</v>
      </c>
      <c r="J107" t="s">
        <v>760</v>
      </c>
    </row>
    <row r="108" spans="1:10" x14ac:dyDescent="0.35">
      <c r="A108" s="1" t="s">
        <v>423</v>
      </c>
      <c r="B108" s="1" t="s">
        <v>424</v>
      </c>
      <c r="C108" s="1" t="s">
        <v>425</v>
      </c>
      <c r="D108" s="1" t="s">
        <v>106</v>
      </c>
      <c r="E108" s="1" t="s">
        <v>14</v>
      </c>
      <c r="F108" s="4">
        <v>44818</v>
      </c>
      <c r="G108" s="1" t="s">
        <v>756</v>
      </c>
      <c r="H108" s="2" t="s">
        <v>426</v>
      </c>
      <c r="I108" t="s">
        <v>43</v>
      </c>
      <c r="J108" t="s">
        <v>762</v>
      </c>
    </row>
    <row r="109" spans="1:10" x14ac:dyDescent="0.35">
      <c r="A109" s="1" t="s">
        <v>427</v>
      </c>
      <c r="B109" s="1" t="s">
        <v>428</v>
      </c>
      <c r="C109" s="1" t="s">
        <v>429</v>
      </c>
      <c r="D109" s="1" t="s">
        <v>244</v>
      </c>
      <c r="E109" s="1" t="s">
        <v>22</v>
      </c>
      <c r="F109" s="4">
        <v>44818</v>
      </c>
      <c r="G109" s="1" t="s">
        <v>756</v>
      </c>
      <c r="H109" s="2">
        <v>1920</v>
      </c>
      <c r="I109" t="s">
        <v>43</v>
      </c>
      <c r="J109" t="s">
        <v>762</v>
      </c>
    </row>
    <row r="110" spans="1:10" x14ac:dyDescent="0.35">
      <c r="A110" s="1" t="s">
        <v>430</v>
      </c>
      <c r="B110" s="1" t="s">
        <v>431</v>
      </c>
      <c r="C110" s="1" t="s">
        <v>432</v>
      </c>
      <c r="D110" s="1" t="s">
        <v>177</v>
      </c>
      <c r="E110" s="1" t="s">
        <v>22</v>
      </c>
      <c r="F110" s="4">
        <v>44780</v>
      </c>
      <c r="G110" s="1" t="s">
        <v>757</v>
      </c>
      <c r="H110" s="2" t="s">
        <v>433</v>
      </c>
      <c r="I110" t="s">
        <v>55</v>
      </c>
      <c r="J110" t="s">
        <v>748</v>
      </c>
    </row>
    <row r="111" spans="1:10" x14ac:dyDescent="0.35">
      <c r="A111" s="1" t="s">
        <v>434</v>
      </c>
      <c r="B111" s="1" t="s">
        <v>435</v>
      </c>
      <c r="C111" s="1" t="s">
        <v>436</v>
      </c>
      <c r="D111" s="1" t="s">
        <v>68</v>
      </c>
      <c r="E111" s="1" t="s">
        <v>14</v>
      </c>
      <c r="F111" s="4">
        <v>44780</v>
      </c>
      <c r="G111" s="1" t="s">
        <v>757</v>
      </c>
      <c r="H111" s="2" t="s">
        <v>747</v>
      </c>
      <c r="I111" t="s">
        <v>55</v>
      </c>
      <c r="J111" t="s">
        <v>748</v>
      </c>
    </row>
    <row r="112" spans="1:10" x14ac:dyDescent="0.35">
      <c r="A112" s="1" t="s">
        <v>437</v>
      </c>
      <c r="B112" s="1" t="s">
        <v>438</v>
      </c>
      <c r="C112" s="1" t="s">
        <v>439</v>
      </c>
      <c r="D112" s="1" t="s">
        <v>93</v>
      </c>
      <c r="E112" s="1" t="s">
        <v>14</v>
      </c>
      <c r="F112" s="4">
        <v>44760</v>
      </c>
      <c r="G112" s="1" t="s">
        <v>755</v>
      </c>
      <c r="H112" s="2" t="s">
        <v>148</v>
      </c>
      <c r="I112" t="s">
        <v>15</v>
      </c>
      <c r="J112" t="s">
        <v>759</v>
      </c>
    </row>
    <row r="113" spans="1:10" x14ac:dyDescent="0.35">
      <c r="A113" s="1" t="s">
        <v>440</v>
      </c>
      <c r="B113" s="1" t="s">
        <v>441</v>
      </c>
      <c r="C113" s="1" t="s">
        <v>442</v>
      </c>
      <c r="D113" s="1" t="s">
        <v>189</v>
      </c>
      <c r="E113" s="1" t="s">
        <v>22</v>
      </c>
      <c r="F113" s="4">
        <v>44760</v>
      </c>
      <c r="G113" s="1" t="s">
        <v>755</v>
      </c>
      <c r="H113" s="2">
        <v>850</v>
      </c>
      <c r="I113" t="s">
        <v>15</v>
      </c>
      <c r="J113" t="s">
        <v>759</v>
      </c>
    </row>
    <row r="114" spans="1:10" x14ac:dyDescent="0.35">
      <c r="A114" s="1" t="s">
        <v>443</v>
      </c>
      <c r="B114" s="1" t="s">
        <v>444</v>
      </c>
      <c r="C114" s="1" t="s">
        <v>445</v>
      </c>
      <c r="D114" s="1" t="s">
        <v>446</v>
      </c>
      <c r="E114" s="1" t="s">
        <v>14</v>
      </c>
      <c r="F114" s="4">
        <v>44738</v>
      </c>
      <c r="G114" s="1" t="s">
        <v>758</v>
      </c>
      <c r="H114" s="2" t="s">
        <v>447</v>
      </c>
      <c r="I114" t="s">
        <v>24</v>
      </c>
      <c r="J114" t="s">
        <v>761</v>
      </c>
    </row>
    <row r="115" spans="1:10" x14ac:dyDescent="0.35">
      <c r="A115" s="1" t="s">
        <v>448</v>
      </c>
      <c r="B115" s="1" t="s">
        <v>449</v>
      </c>
      <c r="C115" s="1" t="s">
        <v>450</v>
      </c>
      <c r="D115" s="1" t="s">
        <v>38</v>
      </c>
      <c r="E115" s="1" t="s">
        <v>22</v>
      </c>
      <c r="F115" s="4">
        <v>44738</v>
      </c>
      <c r="G115" s="1" t="s">
        <v>758</v>
      </c>
      <c r="H115" s="2" t="s">
        <v>451</v>
      </c>
      <c r="I115" t="s">
        <v>24</v>
      </c>
      <c r="J115" t="s">
        <v>761</v>
      </c>
    </row>
    <row r="116" spans="1:10" x14ac:dyDescent="0.35">
      <c r="A116" s="1" t="s">
        <v>452</v>
      </c>
      <c r="B116" s="1" t="s">
        <v>453</v>
      </c>
      <c r="C116" s="1" t="s">
        <v>454</v>
      </c>
      <c r="D116" s="1" t="s">
        <v>110</v>
      </c>
      <c r="E116" s="1" t="s">
        <v>14</v>
      </c>
      <c r="F116" s="4">
        <v>44694</v>
      </c>
      <c r="G116" s="1" t="s">
        <v>32</v>
      </c>
      <c r="H116" s="2" t="s">
        <v>455</v>
      </c>
      <c r="I116" t="s">
        <v>34</v>
      </c>
      <c r="J116" t="s">
        <v>760</v>
      </c>
    </row>
    <row r="117" spans="1:10" x14ac:dyDescent="0.35">
      <c r="A117" s="1" t="s">
        <v>456</v>
      </c>
      <c r="B117" s="1" t="s">
        <v>457</v>
      </c>
      <c r="C117" s="1" t="s">
        <v>458</v>
      </c>
      <c r="D117" s="1" t="s">
        <v>13</v>
      </c>
      <c r="E117" s="1" t="s">
        <v>22</v>
      </c>
      <c r="F117" s="4">
        <v>44694</v>
      </c>
      <c r="G117" s="1" t="s">
        <v>32</v>
      </c>
      <c r="H117" s="2">
        <v>510</v>
      </c>
      <c r="I117" t="s">
        <v>34</v>
      </c>
      <c r="J117" t="s">
        <v>760</v>
      </c>
    </row>
    <row r="118" spans="1:10" x14ac:dyDescent="0.35">
      <c r="A118" s="1" t="s">
        <v>459</v>
      </c>
      <c r="B118" s="1" t="s">
        <v>460</v>
      </c>
      <c r="C118" s="1" t="s">
        <v>461</v>
      </c>
      <c r="D118" s="1" t="s">
        <v>21</v>
      </c>
      <c r="E118" s="1" t="s">
        <v>14</v>
      </c>
      <c r="F118" s="4">
        <v>44655</v>
      </c>
      <c r="G118" s="1" t="s">
        <v>756</v>
      </c>
      <c r="H118" s="2" t="s">
        <v>462</v>
      </c>
      <c r="I118" t="s">
        <v>43</v>
      </c>
      <c r="J118" t="s">
        <v>762</v>
      </c>
    </row>
    <row r="119" spans="1:10" x14ac:dyDescent="0.35">
      <c r="A119" s="1" t="s">
        <v>463</v>
      </c>
      <c r="B119" s="1" t="s">
        <v>464</v>
      </c>
      <c r="C119" s="1" t="s">
        <v>465</v>
      </c>
      <c r="D119" s="1" t="s">
        <v>72</v>
      </c>
      <c r="E119" s="1" t="s">
        <v>22</v>
      </c>
      <c r="F119" s="4">
        <v>44655</v>
      </c>
      <c r="G119" s="1" t="s">
        <v>756</v>
      </c>
      <c r="H119" s="2">
        <v>2400</v>
      </c>
      <c r="I119" t="s">
        <v>43</v>
      </c>
      <c r="J119" t="s">
        <v>762</v>
      </c>
    </row>
    <row r="120" spans="1:10" x14ac:dyDescent="0.35">
      <c r="A120" s="1" t="s">
        <v>466</v>
      </c>
      <c r="B120" s="1" t="s">
        <v>467</v>
      </c>
      <c r="C120" s="1" t="s">
        <v>468</v>
      </c>
      <c r="D120" s="1" t="s">
        <v>231</v>
      </c>
      <c r="E120" s="1" t="s">
        <v>14</v>
      </c>
      <c r="F120" s="4">
        <v>44636</v>
      </c>
      <c r="G120" s="1" t="s">
        <v>757</v>
      </c>
      <c r="H120" s="2" t="s">
        <v>469</v>
      </c>
      <c r="I120" t="s">
        <v>55</v>
      </c>
      <c r="J120" t="s">
        <v>748</v>
      </c>
    </row>
    <row r="121" spans="1:10" x14ac:dyDescent="0.35">
      <c r="A121" s="1" t="s">
        <v>470</v>
      </c>
      <c r="B121" s="1" t="s">
        <v>471</v>
      </c>
      <c r="C121" s="1" t="s">
        <v>197</v>
      </c>
      <c r="D121" s="1" t="s">
        <v>126</v>
      </c>
      <c r="E121" s="1" t="s">
        <v>22</v>
      </c>
      <c r="F121" s="4">
        <v>44636</v>
      </c>
      <c r="G121" s="1" t="s">
        <v>757</v>
      </c>
      <c r="H121" s="2">
        <v>1520</v>
      </c>
      <c r="I121" t="s">
        <v>55</v>
      </c>
      <c r="J121" t="s">
        <v>748</v>
      </c>
    </row>
    <row r="122" spans="1:10" x14ac:dyDescent="0.35">
      <c r="A122" s="1" t="s">
        <v>472</v>
      </c>
      <c r="B122" s="1" t="s">
        <v>473</v>
      </c>
      <c r="C122" s="1" t="s">
        <v>474</v>
      </c>
      <c r="D122" s="1" t="s">
        <v>59</v>
      </c>
      <c r="E122" s="1" t="s">
        <v>14</v>
      </c>
      <c r="F122" s="4">
        <v>44922</v>
      </c>
      <c r="G122" s="1" t="s">
        <v>755</v>
      </c>
      <c r="H122" s="2">
        <v>1330</v>
      </c>
      <c r="I122" t="s">
        <v>15</v>
      </c>
      <c r="J122" t="s">
        <v>759</v>
      </c>
    </row>
    <row r="123" spans="1:10" x14ac:dyDescent="0.35">
      <c r="A123" s="1" t="s">
        <v>475</v>
      </c>
      <c r="B123" s="1" t="s">
        <v>476</v>
      </c>
      <c r="C123" s="1" t="s">
        <v>477</v>
      </c>
      <c r="D123" s="1" t="s">
        <v>53</v>
      </c>
      <c r="E123" s="1" t="s">
        <v>22</v>
      </c>
      <c r="F123" s="4">
        <v>44922</v>
      </c>
      <c r="G123" s="1" t="s">
        <v>755</v>
      </c>
      <c r="H123" s="2" t="s">
        <v>478</v>
      </c>
      <c r="I123" t="s">
        <v>15</v>
      </c>
      <c r="J123" t="s">
        <v>759</v>
      </c>
    </row>
    <row r="124" spans="1:10" x14ac:dyDescent="0.35">
      <c r="A124" s="1" t="s">
        <v>479</v>
      </c>
      <c r="B124" s="1" t="s">
        <v>480</v>
      </c>
      <c r="C124" s="1" t="s">
        <v>481</v>
      </c>
      <c r="D124" s="1" t="s">
        <v>182</v>
      </c>
      <c r="E124" s="1" t="s">
        <v>14</v>
      </c>
      <c r="F124" s="4">
        <v>44879</v>
      </c>
      <c r="G124" s="1" t="s">
        <v>758</v>
      </c>
      <c r="H124" s="2" t="s">
        <v>482</v>
      </c>
      <c r="I124" t="s">
        <v>24</v>
      </c>
      <c r="J124" t="s">
        <v>761</v>
      </c>
    </row>
    <row r="125" spans="1:10" x14ac:dyDescent="0.35">
      <c r="A125" s="1" t="s">
        <v>483</v>
      </c>
      <c r="B125" s="1" t="s">
        <v>484</v>
      </c>
      <c r="C125" s="1" t="s">
        <v>485</v>
      </c>
      <c r="D125" s="1" t="s">
        <v>189</v>
      </c>
      <c r="E125" s="1" t="s">
        <v>22</v>
      </c>
      <c r="F125" s="4">
        <v>44879</v>
      </c>
      <c r="G125" s="1" t="s">
        <v>758</v>
      </c>
      <c r="H125" s="2">
        <v>940</v>
      </c>
      <c r="I125" t="s">
        <v>24</v>
      </c>
      <c r="J125" t="s">
        <v>761</v>
      </c>
    </row>
    <row r="126" spans="1:10" x14ac:dyDescent="0.35">
      <c r="A126" s="1" t="s">
        <v>486</v>
      </c>
      <c r="B126" s="1" t="s">
        <v>487</v>
      </c>
      <c r="C126" s="1" t="s">
        <v>488</v>
      </c>
      <c r="D126" s="1" t="s">
        <v>446</v>
      </c>
      <c r="E126" s="1" t="s">
        <v>14</v>
      </c>
      <c r="F126" s="4">
        <v>44839</v>
      </c>
      <c r="G126" s="1" t="s">
        <v>32</v>
      </c>
      <c r="H126" s="2" t="s">
        <v>489</v>
      </c>
      <c r="I126" t="s">
        <v>34</v>
      </c>
      <c r="J126" t="s">
        <v>760</v>
      </c>
    </row>
    <row r="127" spans="1:10" x14ac:dyDescent="0.35">
      <c r="A127" s="1" t="s">
        <v>490</v>
      </c>
      <c r="B127" s="1" t="s">
        <v>491</v>
      </c>
      <c r="C127" s="1" t="s">
        <v>492</v>
      </c>
      <c r="D127" s="1" t="s">
        <v>83</v>
      </c>
      <c r="E127" s="1" t="s">
        <v>22</v>
      </c>
      <c r="F127" s="4">
        <v>44839</v>
      </c>
      <c r="G127" s="1" t="s">
        <v>32</v>
      </c>
      <c r="H127" s="2">
        <v>280</v>
      </c>
      <c r="I127" t="s">
        <v>34</v>
      </c>
      <c r="J127" t="s">
        <v>760</v>
      </c>
    </row>
    <row r="128" spans="1:10" x14ac:dyDescent="0.35">
      <c r="A128" s="1" t="s">
        <v>493</v>
      </c>
      <c r="B128" s="1" t="s">
        <v>494</v>
      </c>
      <c r="C128" s="1" t="s">
        <v>495</v>
      </c>
      <c r="D128" s="1" t="s">
        <v>63</v>
      </c>
      <c r="E128" s="1" t="s">
        <v>14</v>
      </c>
      <c r="F128" s="4">
        <v>44831</v>
      </c>
      <c r="G128" s="1" t="s">
        <v>756</v>
      </c>
      <c r="H128" s="2" t="s">
        <v>496</v>
      </c>
      <c r="I128" t="s">
        <v>43</v>
      </c>
      <c r="J128" t="s">
        <v>762</v>
      </c>
    </row>
    <row r="129" spans="1:10" x14ac:dyDescent="0.35">
      <c r="A129" s="1" t="s">
        <v>497</v>
      </c>
      <c r="B129" s="1" t="s">
        <v>498</v>
      </c>
      <c r="C129" s="1" t="s">
        <v>499</v>
      </c>
      <c r="D129" s="1" t="s">
        <v>79</v>
      </c>
      <c r="E129" s="1" t="s">
        <v>22</v>
      </c>
      <c r="F129" s="4">
        <v>44831</v>
      </c>
      <c r="G129" s="1" t="s">
        <v>756</v>
      </c>
      <c r="H129" s="2">
        <v>1940</v>
      </c>
      <c r="I129" t="s">
        <v>43</v>
      </c>
      <c r="J129" t="s">
        <v>762</v>
      </c>
    </row>
    <row r="130" spans="1:10" x14ac:dyDescent="0.35">
      <c r="A130" s="1" t="s">
        <v>500</v>
      </c>
      <c r="B130" s="1" t="s">
        <v>501</v>
      </c>
      <c r="C130" s="1" t="s">
        <v>502</v>
      </c>
      <c r="D130" s="1" t="s">
        <v>126</v>
      </c>
      <c r="E130" s="1" t="s">
        <v>22</v>
      </c>
      <c r="F130" s="4">
        <v>44792</v>
      </c>
      <c r="G130" s="1" t="s">
        <v>757</v>
      </c>
      <c r="H130" s="2" t="s">
        <v>216</v>
      </c>
      <c r="I130" t="s">
        <v>55</v>
      </c>
      <c r="J130" t="s">
        <v>748</v>
      </c>
    </row>
    <row r="131" spans="1:10" x14ac:dyDescent="0.35">
      <c r="A131" s="1" t="s">
        <v>503</v>
      </c>
      <c r="B131" s="1" t="s">
        <v>504</v>
      </c>
      <c r="C131" s="1" t="s">
        <v>505</v>
      </c>
      <c r="D131" s="1" t="s">
        <v>102</v>
      </c>
      <c r="E131" s="1" t="s">
        <v>14</v>
      </c>
      <c r="F131" s="4">
        <v>44792</v>
      </c>
      <c r="G131" s="1" t="s">
        <v>757</v>
      </c>
      <c r="H131" s="2" t="s">
        <v>749</v>
      </c>
      <c r="I131" t="s">
        <v>746</v>
      </c>
      <c r="J131" t="s">
        <v>760</v>
      </c>
    </row>
    <row r="132" spans="1:10" x14ac:dyDescent="0.35">
      <c r="A132" s="1" t="s">
        <v>506</v>
      </c>
      <c r="B132" s="1" t="s">
        <v>507</v>
      </c>
      <c r="C132" s="1" t="s">
        <v>508</v>
      </c>
      <c r="D132" s="1" t="s">
        <v>263</v>
      </c>
      <c r="E132" s="1" t="s">
        <v>14</v>
      </c>
      <c r="F132" s="4">
        <v>44770</v>
      </c>
      <c r="G132" s="1" t="s">
        <v>755</v>
      </c>
      <c r="H132" s="2" t="s">
        <v>509</v>
      </c>
      <c r="I132" t="s">
        <v>15</v>
      </c>
      <c r="J132" t="s">
        <v>759</v>
      </c>
    </row>
    <row r="133" spans="1:10" x14ac:dyDescent="0.35">
      <c r="A133" s="1" t="s">
        <v>510</v>
      </c>
      <c r="B133" s="1" t="s">
        <v>511</v>
      </c>
      <c r="C133" s="1" t="s">
        <v>512</v>
      </c>
      <c r="D133" s="1" t="s">
        <v>77</v>
      </c>
      <c r="E133" s="1" t="s">
        <v>22</v>
      </c>
      <c r="F133" s="4">
        <v>44770</v>
      </c>
      <c r="G133" s="1" t="s">
        <v>755</v>
      </c>
      <c r="H133" s="2">
        <v>860</v>
      </c>
      <c r="I133" t="s">
        <v>15</v>
      </c>
      <c r="J133" t="s">
        <v>759</v>
      </c>
    </row>
    <row r="134" spans="1:10" x14ac:dyDescent="0.35">
      <c r="A134" s="1" t="s">
        <v>513</v>
      </c>
      <c r="B134" s="1" t="s">
        <v>514</v>
      </c>
      <c r="C134" s="1" t="s">
        <v>515</v>
      </c>
      <c r="D134" s="1" t="s">
        <v>516</v>
      </c>
      <c r="E134" s="1" t="s">
        <v>14</v>
      </c>
      <c r="F134" s="4">
        <v>44719</v>
      </c>
      <c r="G134" s="1" t="s">
        <v>758</v>
      </c>
      <c r="H134" s="2" t="s">
        <v>517</v>
      </c>
      <c r="I134" t="s">
        <v>24</v>
      </c>
      <c r="J134" t="s">
        <v>761</v>
      </c>
    </row>
    <row r="135" spans="1:10" x14ac:dyDescent="0.35">
      <c r="A135" s="1" t="s">
        <v>518</v>
      </c>
      <c r="B135" s="1" t="s">
        <v>519</v>
      </c>
      <c r="C135" s="1" t="s">
        <v>520</v>
      </c>
      <c r="D135" s="1" t="s">
        <v>231</v>
      </c>
      <c r="E135" s="1" t="s">
        <v>22</v>
      </c>
      <c r="F135" s="4">
        <v>44719</v>
      </c>
      <c r="G135" s="1" t="s">
        <v>758</v>
      </c>
      <c r="H135" s="2" t="s">
        <v>521</v>
      </c>
      <c r="I135" t="s">
        <v>24</v>
      </c>
      <c r="J135" t="s">
        <v>761</v>
      </c>
    </row>
    <row r="136" spans="1:10" x14ac:dyDescent="0.35">
      <c r="A136" s="1" t="s">
        <v>522</v>
      </c>
      <c r="B136" s="1" t="s">
        <v>523</v>
      </c>
      <c r="C136" s="1" t="s">
        <v>524</v>
      </c>
      <c r="D136" s="1" t="s">
        <v>53</v>
      </c>
      <c r="E136" s="1" t="s">
        <v>14</v>
      </c>
      <c r="F136" s="4">
        <v>44710</v>
      </c>
      <c r="G136" s="1" t="s">
        <v>32</v>
      </c>
      <c r="H136" s="2" t="s">
        <v>525</v>
      </c>
      <c r="I136" t="s">
        <v>34</v>
      </c>
      <c r="J136" t="s">
        <v>760</v>
      </c>
    </row>
    <row r="137" spans="1:10" x14ac:dyDescent="0.35">
      <c r="A137" s="1" t="s">
        <v>526</v>
      </c>
      <c r="B137" s="1" t="s">
        <v>527</v>
      </c>
      <c r="C137" s="1" t="s">
        <v>528</v>
      </c>
      <c r="D137" s="1" t="s">
        <v>189</v>
      </c>
      <c r="E137" s="1" t="s">
        <v>22</v>
      </c>
      <c r="F137" s="4">
        <v>44710</v>
      </c>
      <c r="G137" s="1" t="s">
        <v>32</v>
      </c>
      <c r="H137" s="2">
        <v>520</v>
      </c>
      <c r="I137" t="s">
        <v>34</v>
      </c>
      <c r="J137" t="s">
        <v>760</v>
      </c>
    </row>
    <row r="138" spans="1:10" x14ac:dyDescent="0.35">
      <c r="A138" s="1" t="s">
        <v>529</v>
      </c>
      <c r="B138" s="1" t="s">
        <v>530</v>
      </c>
      <c r="C138" s="1" t="s">
        <v>531</v>
      </c>
      <c r="D138" s="1" t="s">
        <v>244</v>
      </c>
      <c r="E138" s="1" t="s">
        <v>14</v>
      </c>
      <c r="F138" s="4">
        <v>44669</v>
      </c>
      <c r="G138" s="1" t="s">
        <v>756</v>
      </c>
      <c r="H138" s="2" t="s">
        <v>532</v>
      </c>
      <c r="I138" t="s">
        <v>43</v>
      </c>
      <c r="J138" t="s">
        <v>762</v>
      </c>
    </row>
    <row r="139" spans="1:10" x14ac:dyDescent="0.35">
      <c r="A139" s="1" t="s">
        <v>533</v>
      </c>
      <c r="B139" s="1" t="s">
        <v>534</v>
      </c>
      <c r="C139" s="1" t="s">
        <v>535</v>
      </c>
      <c r="D139" s="1" t="s">
        <v>21</v>
      </c>
      <c r="E139" s="1" t="s">
        <v>22</v>
      </c>
      <c r="F139" s="4">
        <v>44669</v>
      </c>
      <c r="G139" s="1" t="s">
        <v>756</v>
      </c>
      <c r="H139" s="2" t="s">
        <v>750</v>
      </c>
      <c r="I139" t="s">
        <v>746</v>
      </c>
      <c r="J139" t="s">
        <v>762</v>
      </c>
    </row>
    <row r="140" spans="1:10" x14ac:dyDescent="0.35">
      <c r="A140" s="1" t="s">
        <v>536</v>
      </c>
      <c r="B140" s="1" t="s">
        <v>537</v>
      </c>
      <c r="C140" s="1" t="s">
        <v>538</v>
      </c>
      <c r="D140" s="1" t="s">
        <v>278</v>
      </c>
      <c r="E140" s="1" t="s">
        <v>14</v>
      </c>
      <c r="F140" s="4">
        <v>44629</v>
      </c>
      <c r="G140" s="1" t="s">
        <v>757</v>
      </c>
      <c r="H140" s="2" t="s">
        <v>539</v>
      </c>
      <c r="I140" t="s">
        <v>55</v>
      </c>
      <c r="J140" t="s">
        <v>748</v>
      </c>
    </row>
    <row r="141" spans="1:10" x14ac:dyDescent="0.35">
      <c r="A141" s="1" t="s">
        <v>540</v>
      </c>
      <c r="B141" s="1" t="s">
        <v>541</v>
      </c>
      <c r="C141" s="1" t="s">
        <v>542</v>
      </c>
      <c r="D141" s="1" t="s">
        <v>201</v>
      </c>
      <c r="E141" s="1" t="s">
        <v>22</v>
      </c>
      <c r="F141" s="4">
        <v>44629</v>
      </c>
      <c r="G141" s="1" t="s">
        <v>757</v>
      </c>
      <c r="H141" s="2">
        <v>1540</v>
      </c>
      <c r="I141" t="s">
        <v>55</v>
      </c>
      <c r="J141" t="s">
        <v>748</v>
      </c>
    </row>
    <row r="142" spans="1:10" x14ac:dyDescent="0.35">
      <c r="A142" s="1" t="s">
        <v>543</v>
      </c>
      <c r="B142" s="1" t="s">
        <v>544</v>
      </c>
      <c r="C142" s="1" t="s">
        <v>545</v>
      </c>
      <c r="D142" s="1" t="s">
        <v>119</v>
      </c>
      <c r="E142" s="1" t="s">
        <v>14</v>
      </c>
      <c r="F142" s="4">
        <v>44914</v>
      </c>
      <c r="G142" s="1" t="s">
        <v>755</v>
      </c>
      <c r="H142" s="2">
        <v>1340</v>
      </c>
      <c r="I142" t="s">
        <v>15</v>
      </c>
      <c r="J142" t="s">
        <v>759</v>
      </c>
    </row>
    <row r="143" spans="1:10" x14ac:dyDescent="0.35">
      <c r="A143" s="1" t="s">
        <v>546</v>
      </c>
      <c r="B143" s="1" t="s">
        <v>547</v>
      </c>
      <c r="C143" s="1" t="s">
        <v>548</v>
      </c>
      <c r="D143" s="1" t="s">
        <v>93</v>
      </c>
      <c r="E143" s="1" t="s">
        <v>22</v>
      </c>
      <c r="F143" s="4">
        <v>44914</v>
      </c>
      <c r="G143" s="1" t="s">
        <v>755</v>
      </c>
      <c r="H143" s="2" t="s">
        <v>549</v>
      </c>
      <c r="I143" t="s">
        <v>15</v>
      </c>
      <c r="J143" t="s">
        <v>759</v>
      </c>
    </row>
    <row r="144" spans="1:10" x14ac:dyDescent="0.35">
      <c r="A144" s="1" t="s">
        <v>550</v>
      </c>
      <c r="B144" s="1" t="s">
        <v>551</v>
      </c>
      <c r="C144" s="1" t="s">
        <v>552</v>
      </c>
      <c r="D144" s="1" t="s">
        <v>68</v>
      </c>
      <c r="E144" s="1" t="s">
        <v>14</v>
      </c>
      <c r="F144" s="4">
        <v>44873</v>
      </c>
      <c r="G144" s="1" t="s">
        <v>758</v>
      </c>
      <c r="H144" s="2" t="s">
        <v>553</v>
      </c>
      <c r="I144" t="s">
        <v>24</v>
      </c>
      <c r="J144" t="s">
        <v>761</v>
      </c>
    </row>
    <row r="145" spans="1:10" x14ac:dyDescent="0.35">
      <c r="A145" s="1" t="s">
        <v>554</v>
      </c>
      <c r="B145" s="1" t="s">
        <v>555</v>
      </c>
      <c r="C145" s="1" t="s">
        <v>556</v>
      </c>
      <c r="D145" s="1" t="s">
        <v>77</v>
      </c>
      <c r="E145" s="1" t="s">
        <v>22</v>
      </c>
      <c r="F145" s="4">
        <v>44873</v>
      </c>
      <c r="G145" s="1" t="s">
        <v>758</v>
      </c>
      <c r="H145" s="2">
        <v>950</v>
      </c>
      <c r="I145" t="s">
        <v>24</v>
      </c>
      <c r="J145" t="s">
        <v>761</v>
      </c>
    </row>
    <row r="146" spans="1:10" x14ac:dyDescent="0.35">
      <c r="A146" s="1" t="s">
        <v>557</v>
      </c>
      <c r="B146" s="1" t="s">
        <v>558</v>
      </c>
      <c r="C146" s="1" t="s">
        <v>559</v>
      </c>
      <c r="D146" s="1" t="s">
        <v>516</v>
      </c>
      <c r="E146" s="1" t="s">
        <v>14</v>
      </c>
      <c r="F146" s="4">
        <v>44846</v>
      </c>
      <c r="G146" s="1" t="s">
        <v>32</v>
      </c>
      <c r="H146" s="2" t="s">
        <v>560</v>
      </c>
      <c r="I146" t="s">
        <v>34</v>
      </c>
      <c r="J146" t="s">
        <v>760</v>
      </c>
    </row>
    <row r="147" spans="1:10" x14ac:dyDescent="0.35">
      <c r="A147" s="1" t="s">
        <v>561</v>
      </c>
      <c r="B147" s="1" t="s">
        <v>562</v>
      </c>
      <c r="C147" s="1" t="s">
        <v>563</v>
      </c>
      <c r="D147" s="1" t="s">
        <v>378</v>
      </c>
      <c r="E147" s="1" t="s">
        <v>22</v>
      </c>
      <c r="F147" s="4">
        <v>44846</v>
      </c>
      <c r="G147" s="1" t="s">
        <v>32</v>
      </c>
      <c r="H147" s="2">
        <v>290</v>
      </c>
      <c r="I147" t="s">
        <v>34</v>
      </c>
      <c r="J147" t="s">
        <v>760</v>
      </c>
    </row>
    <row r="148" spans="1:10" x14ac:dyDescent="0.35">
      <c r="A148" s="1" t="s">
        <v>564</v>
      </c>
      <c r="B148" s="1" t="s">
        <v>565</v>
      </c>
      <c r="C148" s="1" t="s">
        <v>566</v>
      </c>
      <c r="D148" s="1" t="s">
        <v>13</v>
      </c>
      <c r="E148" s="1" t="s">
        <v>14</v>
      </c>
      <c r="F148" s="4">
        <v>44807</v>
      </c>
      <c r="G148" s="1" t="s">
        <v>756</v>
      </c>
      <c r="H148" s="2" t="s">
        <v>567</v>
      </c>
      <c r="I148" t="s">
        <v>43</v>
      </c>
      <c r="J148" t="s">
        <v>762</v>
      </c>
    </row>
    <row r="149" spans="1:10" x14ac:dyDescent="0.35">
      <c r="A149" s="1" t="s">
        <v>568</v>
      </c>
      <c r="B149" s="1" t="s">
        <v>569</v>
      </c>
      <c r="C149" s="1" t="s">
        <v>570</v>
      </c>
      <c r="D149" s="1" t="s">
        <v>106</v>
      </c>
      <c r="E149" s="1" t="s">
        <v>22</v>
      </c>
      <c r="F149" s="4">
        <v>44807</v>
      </c>
      <c r="G149" s="1" t="s">
        <v>756</v>
      </c>
      <c r="H149" s="2">
        <v>1960</v>
      </c>
      <c r="I149" t="s">
        <v>43</v>
      </c>
      <c r="J149" t="s">
        <v>762</v>
      </c>
    </row>
    <row r="150" spans="1:10" x14ac:dyDescent="0.35">
      <c r="A150" s="1" t="s">
        <v>571</v>
      </c>
      <c r="B150" s="1" t="s">
        <v>572</v>
      </c>
      <c r="C150" s="1" t="s">
        <v>573</v>
      </c>
      <c r="D150" s="1" t="s">
        <v>201</v>
      </c>
      <c r="E150" s="1" t="s">
        <v>22</v>
      </c>
      <c r="F150" s="4">
        <v>44800</v>
      </c>
      <c r="G150" s="1" t="s">
        <v>757</v>
      </c>
      <c r="H150" s="2" t="s">
        <v>574</v>
      </c>
      <c r="I150" t="s">
        <v>55</v>
      </c>
      <c r="J150" t="s">
        <v>748</v>
      </c>
    </row>
    <row r="151" spans="1:10" x14ac:dyDescent="0.35">
      <c r="A151" s="1" t="s">
        <v>575</v>
      </c>
      <c r="B151" s="1" t="s">
        <v>576</v>
      </c>
      <c r="C151" s="1" t="s">
        <v>577</v>
      </c>
      <c r="D151" s="1" t="s">
        <v>177</v>
      </c>
      <c r="E151" s="1" t="s">
        <v>14</v>
      </c>
      <c r="F151" s="4">
        <v>44800</v>
      </c>
      <c r="G151" s="1" t="s">
        <v>757</v>
      </c>
      <c r="H151" s="2" t="s">
        <v>751</v>
      </c>
      <c r="I151" t="s">
        <v>55</v>
      </c>
      <c r="J151" t="s">
        <v>748</v>
      </c>
    </row>
    <row r="152" spans="1:10" x14ac:dyDescent="0.35">
      <c r="A152" s="1" t="s">
        <v>578</v>
      </c>
      <c r="B152" s="1" t="s">
        <v>579</v>
      </c>
      <c r="C152" s="1" t="s">
        <v>580</v>
      </c>
      <c r="D152" s="1" t="s">
        <v>59</v>
      </c>
      <c r="E152" s="1" t="s">
        <v>14</v>
      </c>
      <c r="F152" s="4">
        <v>44753</v>
      </c>
      <c r="G152" s="1" t="s">
        <v>755</v>
      </c>
      <c r="H152" s="2" t="s">
        <v>581</v>
      </c>
      <c r="I152" t="s">
        <v>15</v>
      </c>
      <c r="J152" t="s">
        <v>759</v>
      </c>
    </row>
    <row r="153" spans="1:10" x14ac:dyDescent="0.35">
      <c r="A153" s="1" t="s">
        <v>582</v>
      </c>
      <c r="B153" s="1" t="s">
        <v>583</v>
      </c>
      <c r="C153" s="1" t="s">
        <v>584</v>
      </c>
      <c r="D153" s="1" t="s">
        <v>110</v>
      </c>
      <c r="E153" s="1" t="s">
        <v>22</v>
      </c>
      <c r="F153" s="4">
        <v>44753</v>
      </c>
      <c r="G153" s="1" t="s">
        <v>755</v>
      </c>
      <c r="H153" s="2">
        <v>870</v>
      </c>
      <c r="I153" t="s">
        <v>15</v>
      </c>
      <c r="J153" t="s">
        <v>759</v>
      </c>
    </row>
    <row r="154" spans="1:10" x14ac:dyDescent="0.35">
      <c r="A154" s="1" t="s">
        <v>585</v>
      </c>
      <c r="B154" s="1" t="s">
        <v>586</v>
      </c>
      <c r="C154" s="1" t="s">
        <v>587</v>
      </c>
      <c r="D154" s="1" t="s">
        <v>588</v>
      </c>
      <c r="E154" s="1" t="s">
        <v>14</v>
      </c>
      <c r="F154" s="4">
        <v>44742</v>
      </c>
      <c r="G154" s="1" t="s">
        <v>758</v>
      </c>
      <c r="H154" s="2" t="s">
        <v>589</v>
      </c>
      <c r="I154" t="s">
        <v>24</v>
      </c>
      <c r="J154" t="s">
        <v>761</v>
      </c>
    </row>
    <row r="155" spans="1:10" x14ac:dyDescent="0.35">
      <c r="A155" s="1" t="s">
        <v>590</v>
      </c>
      <c r="B155" s="1" t="s">
        <v>591</v>
      </c>
      <c r="C155" s="1" t="s">
        <v>592</v>
      </c>
      <c r="D155" s="1" t="s">
        <v>278</v>
      </c>
      <c r="E155" s="1" t="s">
        <v>22</v>
      </c>
      <c r="F155" s="4">
        <v>44742</v>
      </c>
      <c r="G155" s="1" t="s">
        <v>758</v>
      </c>
      <c r="H155" s="2" t="s">
        <v>593</v>
      </c>
      <c r="I155" t="s">
        <v>24</v>
      </c>
      <c r="J155" t="s">
        <v>761</v>
      </c>
    </row>
    <row r="156" spans="1:10" x14ac:dyDescent="0.35">
      <c r="A156" s="1" t="s">
        <v>594</v>
      </c>
      <c r="B156" s="1" t="s">
        <v>595</v>
      </c>
      <c r="C156" s="1" t="s">
        <v>596</v>
      </c>
      <c r="D156" s="1" t="s">
        <v>93</v>
      </c>
      <c r="E156" s="1" t="s">
        <v>14</v>
      </c>
      <c r="F156" s="4">
        <v>44688</v>
      </c>
      <c r="G156" s="1" t="s">
        <v>32</v>
      </c>
      <c r="H156" s="2" t="s">
        <v>597</v>
      </c>
      <c r="I156" t="s">
        <v>34</v>
      </c>
      <c r="J156" t="s">
        <v>760</v>
      </c>
    </row>
    <row r="157" spans="1:10" x14ac:dyDescent="0.35">
      <c r="A157" s="1" t="s">
        <v>598</v>
      </c>
      <c r="B157" s="1" t="s">
        <v>599</v>
      </c>
      <c r="C157" s="1" t="s">
        <v>600</v>
      </c>
      <c r="D157" s="1" t="s">
        <v>77</v>
      </c>
      <c r="E157" s="1" t="s">
        <v>22</v>
      </c>
      <c r="F157" s="4">
        <v>44688</v>
      </c>
      <c r="G157" s="1" t="s">
        <v>32</v>
      </c>
      <c r="H157" s="2">
        <v>530</v>
      </c>
      <c r="I157" t="s">
        <v>34</v>
      </c>
      <c r="J157" t="s">
        <v>760</v>
      </c>
    </row>
    <row r="158" spans="1:10" x14ac:dyDescent="0.35">
      <c r="A158" s="1" t="s">
        <v>601</v>
      </c>
      <c r="B158" s="1" t="s">
        <v>602</v>
      </c>
      <c r="C158" s="1" t="s">
        <v>603</v>
      </c>
      <c r="D158" s="1" t="s">
        <v>79</v>
      </c>
      <c r="E158" s="1" t="s">
        <v>14</v>
      </c>
      <c r="F158" s="4">
        <v>44677</v>
      </c>
      <c r="G158" s="1" t="s">
        <v>756</v>
      </c>
      <c r="H158" s="2" t="s">
        <v>604</v>
      </c>
      <c r="I158" t="s">
        <v>43</v>
      </c>
      <c r="J158" t="s">
        <v>762</v>
      </c>
    </row>
    <row r="159" spans="1:10" x14ac:dyDescent="0.35">
      <c r="A159" s="1" t="s">
        <v>605</v>
      </c>
      <c r="B159" s="1" t="s">
        <v>606</v>
      </c>
      <c r="C159" s="1" t="s">
        <v>607</v>
      </c>
      <c r="D159" s="1" t="s">
        <v>244</v>
      </c>
      <c r="E159" s="1" t="s">
        <v>22</v>
      </c>
      <c r="F159" s="4">
        <v>44677</v>
      </c>
      <c r="G159" s="1" t="s">
        <v>756</v>
      </c>
      <c r="H159" s="2">
        <v>2500</v>
      </c>
      <c r="I159" t="s">
        <v>43</v>
      </c>
      <c r="J159" t="s">
        <v>762</v>
      </c>
    </row>
    <row r="160" spans="1:10" x14ac:dyDescent="0.35">
      <c r="A160" s="1" t="s">
        <v>608</v>
      </c>
      <c r="B160" s="1" t="s">
        <v>609</v>
      </c>
      <c r="C160" s="1" t="s">
        <v>610</v>
      </c>
      <c r="D160" s="1" t="s">
        <v>83</v>
      </c>
      <c r="E160" s="1" t="s">
        <v>14</v>
      </c>
      <c r="F160" s="4">
        <v>44638</v>
      </c>
      <c r="G160" s="1" t="s">
        <v>757</v>
      </c>
      <c r="H160" s="2" t="s">
        <v>611</v>
      </c>
      <c r="I160" t="s">
        <v>55</v>
      </c>
      <c r="J160" t="s">
        <v>748</v>
      </c>
    </row>
    <row r="161" spans="1:10" x14ac:dyDescent="0.35">
      <c r="A161" s="1" t="s">
        <v>612</v>
      </c>
      <c r="B161" s="1" t="s">
        <v>613</v>
      </c>
      <c r="C161" s="1" t="s">
        <v>614</v>
      </c>
      <c r="D161" s="1" t="s">
        <v>38</v>
      </c>
      <c r="E161" s="1" t="s">
        <v>22</v>
      </c>
      <c r="F161" s="4">
        <v>44638</v>
      </c>
      <c r="G161" s="1" t="s">
        <v>757</v>
      </c>
      <c r="H161" s="2">
        <v>1560</v>
      </c>
      <c r="I161" t="s">
        <v>55</v>
      </c>
      <c r="J161" t="s">
        <v>748</v>
      </c>
    </row>
    <row r="162" spans="1:10" x14ac:dyDescent="0.35">
      <c r="A162" s="1" t="s">
        <v>615</v>
      </c>
      <c r="B162" s="1" t="s">
        <v>616</v>
      </c>
      <c r="C162" s="1" t="s">
        <v>617</v>
      </c>
      <c r="D162" s="1" t="s">
        <v>220</v>
      </c>
      <c r="E162" s="1" t="s">
        <v>14</v>
      </c>
      <c r="F162" s="4">
        <v>44903</v>
      </c>
      <c r="G162" s="1" t="s">
        <v>755</v>
      </c>
      <c r="H162" s="2">
        <v>1350</v>
      </c>
      <c r="I162" t="s">
        <v>15</v>
      </c>
      <c r="J162" t="s">
        <v>759</v>
      </c>
    </row>
    <row r="163" spans="1:10" x14ac:dyDescent="0.35">
      <c r="A163" s="1" t="s">
        <v>618</v>
      </c>
      <c r="B163" s="1" t="s">
        <v>619</v>
      </c>
      <c r="C163" s="1" t="s">
        <v>620</v>
      </c>
      <c r="D163" s="1" t="s">
        <v>263</v>
      </c>
      <c r="E163" s="1" t="s">
        <v>22</v>
      </c>
      <c r="F163" s="4">
        <v>44903</v>
      </c>
      <c r="G163" s="1" t="s">
        <v>755</v>
      </c>
      <c r="H163" s="2" t="s">
        <v>621</v>
      </c>
      <c r="I163" t="s">
        <v>15</v>
      </c>
      <c r="J163" t="s">
        <v>759</v>
      </c>
    </row>
    <row r="164" spans="1:10" x14ac:dyDescent="0.35">
      <c r="A164" s="1" t="s">
        <v>622</v>
      </c>
      <c r="B164" s="1" t="s">
        <v>623</v>
      </c>
      <c r="C164" s="1" t="s">
        <v>624</v>
      </c>
      <c r="D164" s="1" t="s">
        <v>102</v>
      </c>
      <c r="E164" s="1" t="s">
        <v>14</v>
      </c>
      <c r="F164" s="4">
        <v>44887</v>
      </c>
      <c r="G164" s="1" t="s">
        <v>758</v>
      </c>
      <c r="H164" s="2" t="s">
        <v>625</v>
      </c>
      <c r="I164" t="s">
        <v>24</v>
      </c>
      <c r="J164" t="s">
        <v>761</v>
      </c>
    </row>
    <row r="165" spans="1:10" x14ac:dyDescent="0.35">
      <c r="A165" s="1" t="s">
        <v>626</v>
      </c>
      <c r="B165" s="1" t="s">
        <v>627</v>
      </c>
      <c r="C165" s="1" t="s">
        <v>628</v>
      </c>
      <c r="D165" s="1" t="s">
        <v>110</v>
      </c>
      <c r="E165" s="1" t="s">
        <v>22</v>
      </c>
      <c r="F165" s="4">
        <v>44887</v>
      </c>
      <c r="G165" s="1" t="s">
        <v>758</v>
      </c>
      <c r="H165" s="2">
        <v>960</v>
      </c>
      <c r="I165" t="s">
        <v>24</v>
      </c>
      <c r="J165" t="s">
        <v>761</v>
      </c>
    </row>
    <row r="166" spans="1:10" x14ac:dyDescent="0.35">
      <c r="A166" s="1" t="s">
        <v>629</v>
      </c>
      <c r="B166" s="1" t="s">
        <v>630</v>
      </c>
      <c r="C166" s="1" t="s">
        <v>631</v>
      </c>
      <c r="D166" s="1" t="s">
        <v>588</v>
      </c>
      <c r="E166" s="1" t="s">
        <v>14</v>
      </c>
      <c r="F166" s="4">
        <v>44837</v>
      </c>
      <c r="G166" s="1" t="s">
        <v>32</v>
      </c>
      <c r="H166" s="2" t="s">
        <v>33</v>
      </c>
      <c r="I166" t="s">
        <v>34</v>
      </c>
      <c r="J166" t="s">
        <v>760</v>
      </c>
    </row>
    <row r="167" spans="1:10" x14ac:dyDescent="0.35">
      <c r="A167" s="1" t="s">
        <v>632</v>
      </c>
      <c r="B167" s="1" t="s">
        <v>633</v>
      </c>
      <c r="C167" s="1" t="s">
        <v>634</v>
      </c>
      <c r="D167" s="1" t="s">
        <v>446</v>
      </c>
      <c r="E167" s="1" t="s">
        <v>22</v>
      </c>
      <c r="F167" s="4">
        <v>44837</v>
      </c>
      <c r="G167" s="1" t="s">
        <v>32</v>
      </c>
      <c r="H167" s="2">
        <v>300</v>
      </c>
      <c r="I167" t="s">
        <v>34</v>
      </c>
      <c r="J167" t="s">
        <v>760</v>
      </c>
    </row>
    <row r="168" spans="1:10" x14ac:dyDescent="0.35">
      <c r="A168" s="1" t="s">
        <v>635</v>
      </c>
      <c r="B168" s="1" t="s">
        <v>636</v>
      </c>
      <c r="C168" s="1" t="s">
        <v>637</v>
      </c>
      <c r="D168" s="1" t="s">
        <v>189</v>
      </c>
      <c r="E168" s="1" t="s">
        <v>14</v>
      </c>
      <c r="F168" s="4">
        <v>44820</v>
      </c>
      <c r="G168" s="1" t="s">
        <v>756</v>
      </c>
      <c r="H168" s="2" t="s">
        <v>638</v>
      </c>
      <c r="I168" t="s">
        <v>43</v>
      </c>
      <c r="J168" t="s">
        <v>762</v>
      </c>
    </row>
    <row r="169" spans="1:10" x14ac:dyDescent="0.35">
      <c r="A169" s="1" t="s">
        <v>639</v>
      </c>
      <c r="B169" s="1" t="s">
        <v>640</v>
      </c>
      <c r="C169" s="1" t="s">
        <v>641</v>
      </c>
      <c r="D169" s="1" t="s">
        <v>63</v>
      </c>
      <c r="E169" s="1" t="s">
        <v>22</v>
      </c>
      <c r="F169" s="4">
        <v>44820</v>
      </c>
      <c r="G169" s="1" t="s">
        <v>756</v>
      </c>
      <c r="H169" s="2">
        <v>1980</v>
      </c>
      <c r="I169" t="s">
        <v>43</v>
      </c>
      <c r="J169" t="s">
        <v>762</v>
      </c>
    </row>
    <row r="170" spans="1:10" x14ac:dyDescent="0.35">
      <c r="A170" s="1" t="s">
        <v>642</v>
      </c>
      <c r="B170" s="1" t="s">
        <v>643</v>
      </c>
      <c r="C170" s="1" t="s">
        <v>644</v>
      </c>
      <c r="D170" s="1" t="s">
        <v>38</v>
      </c>
      <c r="E170" s="1" t="s">
        <v>22</v>
      </c>
      <c r="F170" s="4">
        <v>44784</v>
      </c>
      <c r="G170" s="1" t="s">
        <v>757</v>
      </c>
      <c r="H170" s="2" t="s">
        <v>645</v>
      </c>
      <c r="I170" t="s">
        <v>55</v>
      </c>
      <c r="J170" t="s">
        <v>748</v>
      </c>
    </row>
    <row r="171" spans="1:10" x14ac:dyDescent="0.35">
      <c r="A171" s="1" t="s">
        <v>646</v>
      </c>
      <c r="B171" s="1" t="s">
        <v>647</v>
      </c>
      <c r="C171" s="1" t="s">
        <v>648</v>
      </c>
      <c r="D171" s="1" t="s">
        <v>126</v>
      </c>
      <c r="E171" s="1" t="s">
        <v>14</v>
      </c>
      <c r="F171" s="4">
        <v>44784</v>
      </c>
      <c r="G171" s="1" t="s">
        <v>757</v>
      </c>
      <c r="H171" s="2">
        <v>1720</v>
      </c>
      <c r="I171" t="s">
        <v>55</v>
      </c>
      <c r="J171" t="s">
        <v>748</v>
      </c>
    </row>
    <row r="172" spans="1:10" x14ac:dyDescent="0.35">
      <c r="A172" s="1" t="s">
        <v>649</v>
      </c>
      <c r="B172" s="1" t="s">
        <v>650</v>
      </c>
      <c r="C172" s="1" t="s">
        <v>651</v>
      </c>
      <c r="D172" s="1" t="s">
        <v>119</v>
      </c>
      <c r="E172" s="1" t="s">
        <v>14</v>
      </c>
      <c r="F172" s="4">
        <v>44747</v>
      </c>
      <c r="G172" s="1" t="s">
        <v>755</v>
      </c>
      <c r="H172" s="2" t="s">
        <v>194</v>
      </c>
      <c r="I172" t="s">
        <v>15</v>
      </c>
      <c r="J172" t="s">
        <v>759</v>
      </c>
    </row>
    <row r="173" spans="1:10" x14ac:dyDescent="0.35">
      <c r="A173" s="1" t="s">
        <v>652</v>
      </c>
      <c r="B173" s="1" t="s">
        <v>653</v>
      </c>
      <c r="C173" s="1" t="s">
        <v>654</v>
      </c>
      <c r="D173" s="1" t="s">
        <v>53</v>
      </c>
      <c r="E173" s="1" t="s">
        <v>22</v>
      </c>
      <c r="F173" s="4">
        <v>44747</v>
      </c>
      <c r="G173" s="1" t="s">
        <v>755</v>
      </c>
      <c r="H173" s="2">
        <v>880</v>
      </c>
      <c r="I173" t="s">
        <v>15</v>
      </c>
      <c r="J173" t="s">
        <v>759</v>
      </c>
    </row>
    <row r="174" spans="1:10" x14ac:dyDescent="0.35">
      <c r="A174" s="1" t="s">
        <v>655</v>
      </c>
      <c r="B174" s="1" t="s">
        <v>656</v>
      </c>
      <c r="C174" s="1" t="s">
        <v>657</v>
      </c>
      <c r="D174" s="1" t="s">
        <v>658</v>
      </c>
      <c r="E174" s="1" t="s">
        <v>14</v>
      </c>
      <c r="F174" s="4">
        <v>44725</v>
      </c>
      <c r="G174" s="1" t="s">
        <v>758</v>
      </c>
      <c r="H174" s="2" t="s">
        <v>224</v>
      </c>
      <c r="I174" t="s">
        <v>24</v>
      </c>
      <c r="J174" t="s">
        <v>761</v>
      </c>
    </row>
    <row r="175" spans="1:10" x14ac:dyDescent="0.35">
      <c r="A175" s="1" t="s">
        <v>659</v>
      </c>
      <c r="B175" s="1" t="s">
        <v>660</v>
      </c>
      <c r="C175" s="1" t="s">
        <v>661</v>
      </c>
      <c r="D175" s="1" t="s">
        <v>83</v>
      </c>
      <c r="E175" s="1" t="s">
        <v>22</v>
      </c>
      <c r="F175" s="4">
        <v>44725</v>
      </c>
      <c r="G175" s="1" t="s">
        <v>758</v>
      </c>
      <c r="H175" s="2" t="s">
        <v>662</v>
      </c>
      <c r="I175" t="s">
        <v>24</v>
      </c>
      <c r="J175" t="s">
        <v>761</v>
      </c>
    </row>
    <row r="176" spans="1:10" x14ac:dyDescent="0.35">
      <c r="A176" s="1" t="s">
        <v>663</v>
      </c>
      <c r="B176" s="1" t="s">
        <v>664</v>
      </c>
      <c r="C176" s="1" t="s">
        <v>665</v>
      </c>
      <c r="D176" s="1" t="s">
        <v>263</v>
      </c>
      <c r="E176" s="1" t="s">
        <v>14</v>
      </c>
      <c r="F176" s="4">
        <v>44683</v>
      </c>
      <c r="G176" s="1" t="s">
        <v>32</v>
      </c>
      <c r="H176" s="2" t="s">
        <v>666</v>
      </c>
      <c r="I176" t="s">
        <v>34</v>
      </c>
      <c r="J176" t="s">
        <v>760</v>
      </c>
    </row>
    <row r="177" spans="1:10" x14ac:dyDescent="0.35">
      <c r="A177" s="1" t="s">
        <v>667</v>
      </c>
      <c r="B177" s="1" t="s">
        <v>668</v>
      </c>
      <c r="C177" s="1" t="s">
        <v>318</v>
      </c>
      <c r="D177" s="1" t="s">
        <v>110</v>
      </c>
      <c r="E177" s="1" t="s">
        <v>22</v>
      </c>
      <c r="F177" s="4">
        <v>44683</v>
      </c>
      <c r="G177" s="1" t="s">
        <v>32</v>
      </c>
      <c r="H177" s="2">
        <v>540</v>
      </c>
      <c r="I177" t="s">
        <v>34</v>
      </c>
      <c r="J177" t="s">
        <v>760</v>
      </c>
    </row>
    <row r="178" spans="1:10" x14ac:dyDescent="0.35">
      <c r="A178" s="1" t="s">
        <v>669</v>
      </c>
      <c r="B178" s="1" t="s">
        <v>670</v>
      </c>
      <c r="C178" s="1" t="s">
        <v>671</v>
      </c>
      <c r="D178" s="1" t="s">
        <v>106</v>
      </c>
      <c r="E178" s="1" t="s">
        <v>14</v>
      </c>
      <c r="F178" s="4">
        <v>44666</v>
      </c>
      <c r="G178" s="1" t="s">
        <v>756</v>
      </c>
      <c r="H178" s="2" t="s">
        <v>672</v>
      </c>
      <c r="I178" t="s">
        <v>43</v>
      </c>
      <c r="J178" t="s">
        <v>762</v>
      </c>
    </row>
    <row r="179" spans="1:10" x14ac:dyDescent="0.35">
      <c r="A179" s="1" t="s">
        <v>673</v>
      </c>
      <c r="B179" s="1" t="s">
        <v>674</v>
      </c>
      <c r="C179" s="1" t="s">
        <v>675</v>
      </c>
      <c r="D179" s="1" t="s">
        <v>79</v>
      </c>
      <c r="E179" s="1" t="s">
        <v>22</v>
      </c>
      <c r="F179" s="4">
        <v>44666</v>
      </c>
      <c r="G179" s="1" t="s">
        <v>756</v>
      </c>
      <c r="H179" s="2">
        <v>2550</v>
      </c>
      <c r="I179" t="s">
        <v>43</v>
      </c>
      <c r="J179" t="s">
        <v>762</v>
      </c>
    </row>
    <row r="180" spans="1:10" x14ac:dyDescent="0.35">
      <c r="A180" s="1" t="s">
        <v>676</v>
      </c>
      <c r="B180" s="1" t="s">
        <v>677</v>
      </c>
      <c r="C180" s="1" t="s">
        <v>678</v>
      </c>
      <c r="D180" s="1" t="s">
        <v>378</v>
      </c>
      <c r="E180" s="1" t="s">
        <v>14</v>
      </c>
      <c r="F180" s="4">
        <v>44624</v>
      </c>
      <c r="G180" s="1" t="s">
        <v>757</v>
      </c>
      <c r="H180" s="2" t="s">
        <v>679</v>
      </c>
      <c r="I180" t="s">
        <v>55</v>
      </c>
      <c r="J180" t="s">
        <v>748</v>
      </c>
    </row>
    <row r="181" spans="1:10" x14ac:dyDescent="0.35">
      <c r="A181" s="1" t="s">
        <v>680</v>
      </c>
      <c r="B181" s="1" t="s">
        <v>681</v>
      </c>
      <c r="C181" s="1" t="s">
        <v>682</v>
      </c>
      <c r="D181" s="1" t="s">
        <v>231</v>
      </c>
      <c r="E181" s="1" t="s">
        <v>22</v>
      </c>
      <c r="F181" s="4">
        <v>44624</v>
      </c>
      <c r="G181" s="1" t="s">
        <v>757</v>
      </c>
      <c r="H181" s="2" t="s">
        <v>752</v>
      </c>
      <c r="I181" t="s">
        <v>15</v>
      </c>
      <c r="J181" t="s">
        <v>748</v>
      </c>
    </row>
    <row r="182" spans="1:10" x14ac:dyDescent="0.35">
      <c r="A182" s="1" t="s">
        <v>683</v>
      </c>
      <c r="B182" s="1" t="s">
        <v>684</v>
      </c>
      <c r="C182" s="1" t="s">
        <v>685</v>
      </c>
      <c r="D182" s="1" t="s">
        <v>97</v>
      </c>
      <c r="E182" s="1" t="s">
        <v>14</v>
      </c>
      <c r="F182" s="4">
        <v>44897</v>
      </c>
      <c r="G182" s="1" t="s">
        <v>755</v>
      </c>
      <c r="H182" s="2">
        <v>1360</v>
      </c>
      <c r="I182" t="s">
        <v>15</v>
      </c>
      <c r="J182" t="s">
        <v>759</v>
      </c>
    </row>
    <row r="183" spans="1:10" x14ac:dyDescent="0.35">
      <c r="A183" s="1" t="s">
        <v>686</v>
      </c>
      <c r="B183" s="1" t="s">
        <v>687</v>
      </c>
      <c r="C183" s="1" t="s">
        <v>620</v>
      </c>
      <c r="D183" s="1" t="s">
        <v>59</v>
      </c>
      <c r="E183" s="1" t="s">
        <v>22</v>
      </c>
      <c r="F183" s="4">
        <v>44897</v>
      </c>
      <c r="G183" s="1" t="s">
        <v>755</v>
      </c>
      <c r="H183" s="2" t="s">
        <v>688</v>
      </c>
      <c r="I183" t="s">
        <v>15</v>
      </c>
      <c r="J183" t="s">
        <v>759</v>
      </c>
    </row>
    <row r="184" spans="1:10" x14ac:dyDescent="0.35">
      <c r="A184" s="1" t="s">
        <v>689</v>
      </c>
      <c r="B184" s="1" t="s">
        <v>690</v>
      </c>
      <c r="C184" s="1" t="s">
        <v>691</v>
      </c>
      <c r="D184" s="1" t="s">
        <v>177</v>
      </c>
      <c r="E184" s="1" t="s">
        <v>14</v>
      </c>
      <c r="F184" s="4">
        <v>44890</v>
      </c>
      <c r="G184" s="1" t="s">
        <v>758</v>
      </c>
      <c r="H184" s="2" t="s">
        <v>692</v>
      </c>
      <c r="I184" t="s">
        <v>24</v>
      </c>
      <c r="J184" t="s">
        <v>761</v>
      </c>
    </row>
    <row r="185" spans="1:10" x14ac:dyDescent="0.35">
      <c r="A185" s="1" t="s">
        <v>693</v>
      </c>
      <c r="B185" s="1" t="s">
        <v>694</v>
      </c>
      <c r="C185" s="1" t="s">
        <v>695</v>
      </c>
      <c r="D185" s="1" t="s">
        <v>53</v>
      </c>
      <c r="E185" s="1" t="s">
        <v>22</v>
      </c>
      <c r="F185" s="4">
        <v>44890</v>
      </c>
      <c r="G185" s="1" t="s">
        <v>758</v>
      </c>
      <c r="H185" s="2">
        <v>970</v>
      </c>
      <c r="I185" t="s">
        <v>24</v>
      </c>
      <c r="J185" t="s">
        <v>761</v>
      </c>
    </row>
    <row r="186" spans="1:10" x14ac:dyDescent="0.35">
      <c r="A186" s="1" t="s">
        <v>696</v>
      </c>
      <c r="B186" s="1" t="s">
        <v>697</v>
      </c>
      <c r="C186" s="1" t="s">
        <v>698</v>
      </c>
      <c r="D186" s="1" t="s">
        <v>658</v>
      </c>
      <c r="E186" s="1" t="s">
        <v>14</v>
      </c>
      <c r="F186" s="4">
        <v>44852</v>
      </c>
      <c r="G186" s="1" t="s">
        <v>32</v>
      </c>
      <c r="H186" s="2" t="s">
        <v>699</v>
      </c>
      <c r="I186" t="s">
        <v>34</v>
      </c>
      <c r="J186" t="s">
        <v>760</v>
      </c>
    </row>
    <row r="187" spans="1:10" x14ac:dyDescent="0.35">
      <c r="A187" s="1" t="s">
        <v>700</v>
      </c>
      <c r="B187" s="1" t="s">
        <v>701</v>
      </c>
      <c r="C187" s="1" t="s">
        <v>702</v>
      </c>
      <c r="D187" s="1" t="s">
        <v>516</v>
      </c>
      <c r="E187" s="1" t="s">
        <v>22</v>
      </c>
      <c r="F187" s="4">
        <v>44852</v>
      </c>
      <c r="G187" s="1" t="s">
        <v>32</v>
      </c>
      <c r="H187" s="2">
        <v>310</v>
      </c>
      <c r="I187" t="s">
        <v>34</v>
      </c>
      <c r="J187" t="s">
        <v>760</v>
      </c>
    </row>
    <row r="188" spans="1:10" x14ac:dyDescent="0.35">
      <c r="A188" s="1" t="s">
        <v>703</v>
      </c>
      <c r="B188" s="1" t="s">
        <v>704</v>
      </c>
      <c r="C188" s="1" t="s">
        <v>705</v>
      </c>
      <c r="D188" s="1" t="s">
        <v>77</v>
      </c>
      <c r="E188" s="1" t="s">
        <v>14</v>
      </c>
      <c r="F188" s="4">
        <v>44805</v>
      </c>
      <c r="G188" s="1" t="s">
        <v>756</v>
      </c>
      <c r="H188" s="2" t="s">
        <v>706</v>
      </c>
      <c r="I188" t="s">
        <v>43</v>
      </c>
      <c r="J188" t="s">
        <v>762</v>
      </c>
    </row>
    <row r="189" spans="1:10" x14ac:dyDescent="0.35">
      <c r="A189" s="1" t="s">
        <v>707</v>
      </c>
      <c r="B189" s="1" t="s">
        <v>708</v>
      </c>
      <c r="C189" s="1" t="s">
        <v>499</v>
      </c>
      <c r="D189" s="1" t="s">
        <v>13</v>
      </c>
      <c r="E189" s="1" t="s">
        <v>22</v>
      </c>
      <c r="F189" s="4">
        <v>44805</v>
      </c>
      <c r="G189" s="1" t="s">
        <v>756</v>
      </c>
      <c r="H189" s="2" t="s">
        <v>753</v>
      </c>
      <c r="I189" t="s">
        <v>754</v>
      </c>
      <c r="J189" t="s">
        <v>762</v>
      </c>
    </row>
    <row r="190" spans="1:10" x14ac:dyDescent="0.35">
      <c r="A190" s="1" t="s">
        <v>709</v>
      </c>
      <c r="B190" s="1" t="s">
        <v>710</v>
      </c>
      <c r="C190" s="1" t="s">
        <v>502</v>
      </c>
      <c r="D190" s="1" t="s">
        <v>231</v>
      </c>
      <c r="E190" s="1" t="s">
        <v>22</v>
      </c>
      <c r="F190" s="4">
        <v>44778</v>
      </c>
      <c r="G190" s="1" t="s">
        <v>757</v>
      </c>
      <c r="H190" s="2" t="s">
        <v>711</v>
      </c>
      <c r="I190" t="s">
        <v>55</v>
      </c>
      <c r="J190" t="s">
        <v>748</v>
      </c>
    </row>
    <row r="191" spans="1:10" x14ac:dyDescent="0.35">
      <c r="A191" s="1" t="s">
        <v>712</v>
      </c>
      <c r="B191" s="1" t="s">
        <v>713</v>
      </c>
      <c r="C191" s="1" t="s">
        <v>436</v>
      </c>
      <c r="D191" s="1" t="s">
        <v>201</v>
      </c>
      <c r="E191" s="1" t="s">
        <v>14</v>
      </c>
      <c r="F191" s="4">
        <v>44778</v>
      </c>
      <c r="G191" s="1" t="s">
        <v>757</v>
      </c>
      <c r="H191" s="2">
        <v>1730</v>
      </c>
      <c r="I191" t="s">
        <v>55</v>
      </c>
      <c r="J191" t="s">
        <v>748</v>
      </c>
    </row>
    <row r="192" spans="1:10" x14ac:dyDescent="0.35">
      <c r="A192" s="1" t="s">
        <v>714</v>
      </c>
      <c r="B192" s="1" t="s">
        <v>715</v>
      </c>
      <c r="C192" s="1" t="s">
        <v>439</v>
      </c>
      <c r="D192" s="1" t="s">
        <v>220</v>
      </c>
      <c r="E192" s="1" t="s">
        <v>14</v>
      </c>
      <c r="F192" s="4">
        <v>44751</v>
      </c>
      <c r="G192" s="1" t="s">
        <v>755</v>
      </c>
      <c r="H192" s="2" t="s">
        <v>716</v>
      </c>
      <c r="I192" t="s">
        <v>15</v>
      </c>
      <c r="J192" t="s">
        <v>759</v>
      </c>
    </row>
    <row r="193" spans="1:10" x14ac:dyDescent="0.35">
      <c r="A193" s="1" t="s">
        <v>717</v>
      </c>
      <c r="B193" s="1" t="s">
        <v>718</v>
      </c>
      <c r="C193" s="1" t="s">
        <v>719</v>
      </c>
      <c r="D193" s="1" t="s">
        <v>93</v>
      </c>
      <c r="E193" s="1" t="s">
        <v>22</v>
      </c>
      <c r="F193" s="4">
        <v>44751</v>
      </c>
      <c r="G193" s="1" t="s">
        <v>755</v>
      </c>
      <c r="H193" s="2">
        <v>890</v>
      </c>
      <c r="I193" t="s">
        <v>15</v>
      </c>
      <c r="J193" t="s">
        <v>759</v>
      </c>
    </row>
    <row r="194" spans="1:10" x14ac:dyDescent="0.35">
      <c r="A194" s="1" t="s">
        <v>720</v>
      </c>
      <c r="B194" s="1" t="s">
        <v>721</v>
      </c>
      <c r="C194" s="1" t="s">
        <v>515</v>
      </c>
      <c r="D194" s="1" t="s">
        <v>722</v>
      </c>
      <c r="E194" s="1" t="s">
        <v>14</v>
      </c>
      <c r="F194" s="4">
        <v>44714</v>
      </c>
      <c r="G194" s="1" t="s">
        <v>758</v>
      </c>
      <c r="H194" s="2" t="s">
        <v>300</v>
      </c>
      <c r="I194" t="s">
        <v>24</v>
      </c>
      <c r="J194" t="s">
        <v>761</v>
      </c>
    </row>
    <row r="195" spans="1:10" x14ac:dyDescent="0.35">
      <c r="A195" s="1" t="s">
        <v>723</v>
      </c>
      <c r="B195" s="1" t="s">
        <v>724</v>
      </c>
      <c r="C195" s="1" t="s">
        <v>725</v>
      </c>
      <c r="D195" s="1" t="s">
        <v>378</v>
      </c>
      <c r="E195" s="1" t="s">
        <v>22</v>
      </c>
      <c r="F195" s="4">
        <v>44714</v>
      </c>
      <c r="G195" s="1" t="s">
        <v>758</v>
      </c>
      <c r="H195" s="2" t="s">
        <v>726</v>
      </c>
      <c r="I195" t="s">
        <v>24</v>
      </c>
      <c r="J195" t="s">
        <v>761</v>
      </c>
    </row>
    <row r="196" spans="1:10" x14ac:dyDescent="0.35">
      <c r="A196" s="1" t="s">
        <v>727</v>
      </c>
      <c r="B196" s="1" t="s">
        <v>728</v>
      </c>
      <c r="C196" s="1" t="s">
        <v>729</v>
      </c>
      <c r="D196" s="1" t="s">
        <v>59</v>
      </c>
      <c r="E196" s="1" t="s">
        <v>14</v>
      </c>
      <c r="F196" s="4">
        <v>44699</v>
      </c>
      <c r="G196" s="1" t="s">
        <v>32</v>
      </c>
      <c r="H196" s="2" t="s">
        <v>730</v>
      </c>
      <c r="I196" t="s">
        <v>34</v>
      </c>
      <c r="J196" t="s">
        <v>760</v>
      </c>
    </row>
    <row r="197" spans="1:10" x14ac:dyDescent="0.35">
      <c r="A197" s="1" t="s">
        <v>731</v>
      </c>
      <c r="B197" s="1" t="s">
        <v>732</v>
      </c>
      <c r="C197" s="1" t="s">
        <v>733</v>
      </c>
      <c r="D197" s="1" t="s">
        <v>53</v>
      </c>
      <c r="E197" s="1" t="s">
        <v>22</v>
      </c>
      <c r="F197" s="4">
        <v>44699</v>
      </c>
      <c r="G197" s="1" t="s">
        <v>32</v>
      </c>
      <c r="H197" s="2">
        <v>550</v>
      </c>
      <c r="I197" t="s">
        <v>34</v>
      </c>
      <c r="J197" t="s">
        <v>760</v>
      </c>
    </row>
    <row r="198" spans="1:10" x14ac:dyDescent="0.35">
      <c r="A198" s="1" t="s">
        <v>734</v>
      </c>
      <c r="B198" s="1" t="s">
        <v>735</v>
      </c>
      <c r="C198" s="1" t="s">
        <v>736</v>
      </c>
      <c r="D198" s="1" t="s">
        <v>63</v>
      </c>
      <c r="E198" s="1" t="s">
        <v>14</v>
      </c>
      <c r="F198" s="4">
        <v>44663</v>
      </c>
      <c r="G198" s="1" t="s">
        <v>756</v>
      </c>
      <c r="H198" s="2" t="s">
        <v>737</v>
      </c>
      <c r="I198" t="s">
        <v>43</v>
      </c>
      <c r="J198" t="s">
        <v>762</v>
      </c>
    </row>
    <row r="199" spans="1:10" x14ac:dyDescent="0.35">
      <c r="A199" s="1" t="s">
        <v>738</v>
      </c>
      <c r="B199" s="1" t="s">
        <v>739</v>
      </c>
      <c r="C199" s="1" t="s">
        <v>740</v>
      </c>
      <c r="D199" s="1" t="s">
        <v>106</v>
      </c>
      <c r="E199" s="1" t="s">
        <v>22</v>
      </c>
      <c r="F199" s="4">
        <v>44663</v>
      </c>
      <c r="G199" s="1" t="s">
        <v>756</v>
      </c>
      <c r="H199" s="2">
        <v>2600</v>
      </c>
      <c r="I199" t="s">
        <v>43</v>
      </c>
      <c r="J199" t="s">
        <v>762</v>
      </c>
    </row>
    <row r="200" spans="1:10" x14ac:dyDescent="0.35">
      <c r="A200" s="1" t="s">
        <v>741</v>
      </c>
      <c r="B200" s="1" t="s">
        <v>742</v>
      </c>
      <c r="C200" s="1" t="s">
        <v>678</v>
      </c>
      <c r="D200" s="1" t="s">
        <v>446</v>
      </c>
      <c r="E200" s="1" t="s">
        <v>14</v>
      </c>
      <c r="F200" s="4">
        <v>44621</v>
      </c>
      <c r="G200" s="1" t="s">
        <v>757</v>
      </c>
      <c r="H200" s="2" t="s">
        <v>141</v>
      </c>
      <c r="I200" t="s">
        <v>55</v>
      </c>
      <c r="J200" t="s">
        <v>748</v>
      </c>
    </row>
    <row r="201" spans="1:10" x14ac:dyDescent="0.35">
      <c r="A201" s="1" t="s">
        <v>743</v>
      </c>
      <c r="B201" s="1" t="s">
        <v>17</v>
      </c>
      <c r="C201" s="1" t="s">
        <v>614</v>
      </c>
      <c r="D201" s="1" t="s">
        <v>278</v>
      </c>
      <c r="E201" s="1" t="s">
        <v>22</v>
      </c>
      <c r="F201" s="4">
        <v>44621</v>
      </c>
      <c r="G201" s="1" t="s">
        <v>757</v>
      </c>
      <c r="H201" s="2" t="s">
        <v>747</v>
      </c>
      <c r="I201" t="s">
        <v>55</v>
      </c>
      <c r="J201" t="s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Claims by Month</vt:lpstr>
      <vt:lpstr>Claims by City</vt:lpstr>
      <vt:lpstr>Claims by Type</vt:lpstr>
      <vt:lpstr>Claims by Status</vt:lpstr>
      <vt:lpstr>Claim Count by Age Group</vt:lpstr>
      <vt:lpstr>ClaimsData - Clean</vt:lpstr>
      <vt:lpstr>Sheet1</vt:lpstr>
      <vt:lpstr>'ClaimsData - Clean'!claims_raw</vt:lpstr>
      <vt:lpstr>Sheet1!claims_raw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Hughes</dc:creator>
  <cp:lastModifiedBy>Tyler Hughes</cp:lastModifiedBy>
  <dcterms:created xsi:type="dcterms:W3CDTF">2026-09-19T19:28:30Z</dcterms:created>
  <dcterms:modified xsi:type="dcterms:W3CDTF">2026-09-21T02:53:35Z</dcterms:modified>
</cp:coreProperties>
</file>